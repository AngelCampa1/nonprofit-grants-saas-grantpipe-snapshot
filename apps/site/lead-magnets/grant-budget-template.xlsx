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udget" sheetId="2" state="visible" r:id="rId2"/>
    <sheet name="Budget Narrative" sheetId="3" state="visible" r:id="rId3"/>
    <sheet name="Cost 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065F46"/>
      <sz val="20"/>
    </font>
    <font>
      <name val="Calibri"/>
      <i val="1"/>
      <color rgb="006C726A"/>
      <sz val="10"/>
    </font>
    <font>
      <b val="1"/>
      <color rgb="00B9842B"/>
      <sz val="12"/>
    </font>
    <font>
      <name val="Calibri"/>
      <color rgb="0017211C"/>
      <sz val="11"/>
    </font>
    <font>
      <b val="1"/>
      <color rgb="00065F46"/>
      <sz val="11"/>
    </font>
    <font>
      <name val="Calibri"/>
      <b val="1"/>
      <color rgb="00053D2E"/>
      <sz val="11"/>
    </font>
    <font>
      <name val="Calibri"/>
      <b val="1"/>
      <color rgb="007A5410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F3EE"/>
      </patternFill>
    </fill>
    <fill>
      <patternFill patternType="solid">
        <fgColor rgb="00F6ECD6"/>
      </patternFill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E6E0D2"/>
      </left>
      <right style="thin">
        <color rgb="00E6E0D2"/>
      </right>
      <top style="thin">
        <color rgb="00E6E0D2"/>
      </top>
      <bottom style="thin">
        <color rgb="00E6E0D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9" fontId="7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  <xf numFmtId="0" fontId="6" fillId="2" borderId="1" pivotButton="0" quotePrefix="0" xfId="0"/>
    <xf numFmtId="0" fontId="0" fillId="2" borderId="1" pivotButton="0" quotePrefix="0" xfId="0"/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5F46"/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Grant Budget Template</t>
        </is>
      </c>
    </row>
    <row r="3">
      <c r="B3" s="2" t="inlineStr">
        <is>
          <t>A federal-cost-category budget worksheet for nonprofits — by GrantPipe</t>
        </is>
      </c>
    </row>
    <row r="5">
      <c r="B5" s="3" t="inlineStr">
        <is>
          <t>WHAT'S INSIDE</t>
        </is>
      </c>
    </row>
    <row r="6">
      <c r="B6" s="4" t="inlineStr">
        <is>
          <t>• Budget — the standard federal cost categories (Personnel, Fringe, Travel, Equipment, Supplies, Contractual, Other), then Total Direct Costs, the MTDC base, Indirect, and Total Project Cost. Personnel, fringe, and indirect are formula-driven.</t>
        </is>
      </c>
    </row>
    <row r="7">
      <c r="B7" s="4" t="inlineStr">
        <is>
          <t>• Budget Narrative — one justification sentence per budget line, so the numbers and the reasons never drift apart.</t>
        </is>
      </c>
    </row>
    <row r="8">
      <c r="B8" s="4" t="inlineStr">
        <is>
          <t>• Cost Share — record any required match by source, type (Cash / In-Kind), amount, and note.</t>
        </is>
      </c>
    </row>
    <row r="10">
      <c r="B10" s="3" t="inlineStr">
        <is>
          <t>HOW TO USE IT</t>
        </is>
      </c>
    </row>
    <row r="11">
      <c r="B11" s="4" t="inlineStr">
        <is>
          <t>1. On Budget, replace the sample Personnel rows with your roles. Enter Annual Salary and % Effort; the Cost computes itself.</t>
        </is>
      </c>
    </row>
    <row r="12">
      <c r="B12" s="4" t="inlineStr">
        <is>
          <t>2. Set the Fringe Rate and Indirect Rate input cells (highlighted). Fringe applies to the personnel subtotal; indirect applies to MTDC.</t>
        </is>
      </c>
    </row>
    <row r="13">
      <c r="B13" s="4" t="inlineStr">
        <is>
          <t>3. Add Travel, Equipment, Supplies, Contractual, and Other direct costs with a visible basis (quantity x rate).</t>
        </is>
      </c>
    </row>
    <row r="14">
      <c r="B14" s="4" t="inlineStr">
        <is>
          <t>4. Write a one-line justification for each cost on Budget Narrative. Record any required match on Cost Share.</t>
        </is>
      </c>
    </row>
    <row r="16">
      <c r="B16" s="3" t="inlineStr">
        <is>
          <t>A NOTE ON THE NUMBERS</t>
        </is>
      </c>
    </row>
    <row r="17">
      <c r="B17" s="4" t="inlineStr">
        <is>
          <t>Equipment is tangible property with a useful life over one year and a per-unit cost at or above the lower of your capitalization level or $5,000; anything below that is Supplies. The Indirect Rate defaults to the 15% de minimis rate, which the 2024 Uniform Guidance raised from 10% (2 CFR 200.414). Modified Total Direct Costs (MTDC) exclude equipment and the portion of each subaward over $50,000; this sample subtracts equipment only. If you have a negotiated indirect rate, use it instead. This template is a planning tool, not legal or accounting advice.</t>
        </is>
      </c>
    </row>
    <row r="19">
      <c r="B19" s="5" t="inlineStr">
        <is>
          <t>Built by GrantPipe — donor management &amp; grant compliance for mid-sized nonprofits.  grantpipe.com</t>
        </is>
      </c>
    </row>
    <row r="20">
      <c r="B20" s="2" t="inlineStr">
        <is>
          <t>Free to use and share. Replace the sample rows with your own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5F46"/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1" customWidth="1" min="3" max="3"/>
    <col width="14" customWidth="1" min="4" max="4"/>
    <col width="11" customWidth="1" min="5" max="5"/>
    <col width="16" customWidth="1" min="6" max="6"/>
  </cols>
  <sheetData>
    <row r="1" ht="26" customHeight="1">
      <c r="A1" s="6" t="inlineStr">
        <is>
          <t>Category</t>
        </is>
      </c>
      <c r="B1" s="6" t="inlineStr">
        <is>
          <t>Description / Basis</t>
        </is>
      </c>
      <c r="C1" s="6" t="inlineStr">
        <is>
          <t>Quantity</t>
        </is>
      </c>
      <c r="D1" s="6" t="inlineStr">
        <is>
          <t>Rate/Unit</t>
        </is>
      </c>
      <c r="E1" s="6" t="inlineStr">
        <is>
          <t>% Effort</t>
        </is>
      </c>
      <c r="F1" s="6" t="inlineStr">
        <is>
          <t>Cost</t>
        </is>
      </c>
    </row>
    <row r="2">
      <c r="A2" s="7" t="inlineStr">
        <is>
          <t>PERSONNEL</t>
        </is>
      </c>
      <c r="B2" s="8" t="n"/>
      <c r="C2" s="9" t="n"/>
      <c r="D2" s="9" t="n"/>
      <c r="E2" s="9" t="n"/>
      <c r="F2" s="9" t="n"/>
    </row>
    <row r="3">
      <c r="A3" s="10" t="inlineStr">
        <is>
          <t>Project Director</t>
        </is>
      </c>
      <c r="B3" s="11" t="inlineStr">
        <is>
          <t>Oversees program delivery and reporting</t>
        </is>
      </c>
      <c r="C3" s="12" t="n"/>
      <c r="D3" s="13" t="n">
        <v>95000</v>
      </c>
      <c r="E3" s="14" t="n">
        <v>0.25</v>
      </c>
      <c r="F3" s="13">
        <f>D3*E3</f>
        <v/>
      </c>
    </row>
    <row r="4">
      <c r="A4" s="10" t="inlineStr">
        <is>
          <t>Program Coordinator</t>
        </is>
      </c>
      <c r="B4" s="11" t="inlineStr">
        <is>
          <t>Delivers weekly sessions to 40 participants</t>
        </is>
      </c>
      <c r="C4" s="12" t="n"/>
      <c r="D4" s="13" t="n">
        <v>58000</v>
      </c>
      <c r="E4" s="14" t="n">
        <v>0.5</v>
      </c>
      <c r="F4" s="13">
        <f>D4*E4</f>
        <v/>
      </c>
    </row>
    <row r="5">
      <c r="A5" s="10" t="inlineStr">
        <is>
          <t>Data &amp; Compliance Analyst</t>
        </is>
      </c>
      <c r="B5" s="11" t="inlineStr">
        <is>
          <t>Tracks outcomes, prepares funder reports</t>
        </is>
      </c>
      <c r="C5" s="12" t="n"/>
      <c r="D5" s="13" t="n">
        <v>64000</v>
      </c>
      <c r="E5" s="14" t="n">
        <v>0.2</v>
      </c>
      <c r="F5" s="13">
        <f>D5*E5</f>
        <v/>
      </c>
    </row>
    <row r="6">
      <c r="A6" s="7" t="inlineStr">
        <is>
          <t>Personnel Subtotal</t>
        </is>
      </c>
      <c r="B6" s="8" t="n"/>
      <c r="C6" s="9" t="n"/>
      <c r="D6" s="9" t="n"/>
      <c r="E6" s="9" t="n"/>
      <c r="F6" s="15">
        <f>SUM(F3:F5)</f>
        <v/>
      </c>
    </row>
    <row r="7">
      <c r="A7" s="16" t="inlineStr">
        <is>
          <t>Fringe Rate (input)</t>
        </is>
      </c>
      <c r="B7" s="17" t="inlineStr">
        <is>
          <t>Employer payroll taxes, health, retirement — % of personnel</t>
        </is>
      </c>
      <c r="C7" s="18" t="n"/>
      <c r="D7" s="18" t="n"/>
      <c r="E7" s="19" t="n">
        <v>0.28</v>
      </c>
      <c r="F7" s="18" t="n"/>
    </row>
    <row r="8">
      <c r="A8" s="20" t="inlineStr">
        <is>
          <t>Fringe Benefits</t>
        </is>
      </c>
      <c r="B8" s="11" t="inlineStr">
        <is>
          <t>Fringe rate applied to personnel subtotal</t>
        </is>
      </c>
      <c r="C8" s="10" t="n"/>
      <c r="D8" s="10" t="n"/>
      <c r="E8" s="10" t="n"/>
      <c r="F8" s="21">
        <f>F6*E7</f>
        <v/>
      </c>
    </row>
    <row r="9">
      <c r="A9" s="7" t="inlineStr">
        <is>
          <t>TRAVEL</t>
        </is>
      </c>
      <c r="B9" s="8" t="n"/>
      <c r="C9" s="9" t="n"/>
      <c r="D9" s="9" t="n"/>
      <c r="E9" s="9" t="n"/>
      <c r="F9" s="9" t="n"/>
    </row>
    <row r="10">
      <c r="A10" s="10" t="inlineStr">
        <is>
          <t>Project site visits</t>
        </is>
      </c>
      <c r="B10" s="11" t="inlineStr">
        <is>
          <t>Trips x nights x lodging + mileage</t>
        </is>
      </c>
      <c r="C10" s="12" t="n">
        <v>8</v>
      </c>
      <c r="D10" s="13" t="n">
        <v>425</v>
      </c>
      <c r="E10" s="12" t="n"/>
      <c r="F10" s="13">
        <f>C10*D10</f>
        <v/>
      </c>
    </row>
    <row r="11">
      <c r="A11" s="10" t="inlineStr">
        <is>
          <t>National grantee convening</t>
        </is>
      </c>
      <c r="B11" s="11" t="inlineStr">
        <is>
          <t>1 traveler: airfare + 3 nights lodging</t>
        </is>
      </c>
      <c r="C11" s="12" t="n">
        <v>1</v>
      </c>
      <c r="D11" s="13" t="n">
        <v>1850</v>
      </c>
      <c r="E11" s="12" t="n"/>
      <c r="F11" s="13">
        <f>C11*D11</f>
        <v/>
      </c>
    </row>
    <row r="12">
      <c r="A12" s="7" t="inlineStr">
        <is>
          <t>EQUIPMENT</t>
        </is>
      </c>
      <c r="B12" s="8" t="n"/>
      <c r="C12" s="9" t="n"/>
      <c r="D12" s="9" t="n"/>
      <c r="E12" s="9" t="n"/>
      <c r="F12" s="9" t="n"/>
    </row>
    <row r="13">
      <c r="A13" s="10" t="inlineStr">
        <is>
          <t>Server for participant data system</t>
        </is>
      </c>
      <c r="B13" s="11" t="inlineStr">
        <is>
          <t>Unit cost &gt;= $5,000 useful life &gt; 1 yr — excluded from MTDC</t>
        </is>
      </c>
      <c r="C13" s="12" t="n">
        <v>1</v>
      </c>
      <c r="D13" s="13" t="n">
        <v>6200</v>
      </c>
      <c r="E13" s="12" t="n"/>
      <c r="F13" s="13">
        <f>C13*D13</f>
        <v/>
      </c>
    </row>
    <row r="14">
      <c r="A14" s="7" t="inlineStr">
        <is>
          <t>SUPPLIES</t>
        </is>
      </c>
      <c r="B14" s="8" t="n"/>
      <c r="C14" s="9" t="n"/>
      <c r="D14" s="9" t="n"/>
      <c r="E14" s="9" t="n"/>
      <c r="F14" s="9" t="n"/>
    </row>
    <row r="15">
      <c r="A15" s="10" t="inlineStr">
        <is>
          <t>Participant materials</t>
        </is>
      </c>
      <c r="B15" s="11" t="inlineStr">
        <is>
          <t>Workbooks &amp; kits, 40 participants x $35</t>
        </is>
      </c>
      <c r="C15" s="12" t="n">
        <v>40</v>
      </c>
      <c r="D15" s="13" t="n">
        <v>35</v>
      </c>
      <c r="E15" s="12" t="n"/>
      <c r="F15" s="13">
        <f>C15*D15</f>
        <v/>
      </c>
    </row>
    <row r="16">
      <c r="A16" s="10" t="inlineStr">
        <is>
          <t>Laptops (under $5,000/unit)</t>
        </is>
      </c>
      <c r="B16" s="11" t="inlineStr">
        <is>
          <t>3 staff laptops at $1,100 — supplies, not equipment</t>
        </is>
      </c>
      <c r="C16" s="12" t="n">
        <v>3</v>
      </c>
      <c r="D16" s="13" t="n">
        <v>1100</v>
      </c>
      <c r="E16" s="12" t="n"/>
      <c r="F16" s="13">
        <f>C16*D16</f>
        <v/>
      </c>
    </row>
    <row r="17">
      <c r="A17" s="7" t="inlineStr">
        <is>
          <t>CONTRACTUAL</t>
        </is>
      </c>
      <c r="B17" s="8" t="n"/>
      <c r="C17" s="9" t="n"/>
      <c r="D17" s="9" t="n"/>
      <c r="E17" s="9" t="n"/>
      <c r="F17" s="9" t="n"/>
    </row>
    <row r="18">
      <c r="A18" s="10" t="inlineStr">
        <is>
          <t>External evaluator</t>
        </is>
      </c>
      <c r="B18" s="11" t="inlineStr">
        <is>
          <t>Independent outcome evaluation, fixed fee</t>
        </is>
      </c>
      <c r="C18" s="12" t="n">
        <v>1</v>
      </c>
      <c r="D18" s="13" t="n">
        <v>12000</v>
      </c>
      <c r="E18" s="12" t="n"/>
      <c r="F18" s="13">
        <f>C18*D18</f>
        <v/>
      </c>
    </row>
    <row r="19">
      <c r="A19" s="7" t="inlineStr">
        <is>
          <t>OTHER DIRECT COSTS</t>
        </is>
      </c>
      <c r="B19" s="8" t="n"/>
      <c r="C19" s="9" t="n"/>
      <c r="D19" s="9" t="n"/>
      <c r="E19" s="9" t="n"/>
      <c r="F19" s="9" t="n"/>
    </row>
    <row r="20">
      <c r="A20" s="10" t="inlineStr">
        <is>
          <t>Participant stipends</t>
        </is>
      </c>
      <c r="B20" s="11" t="inlineStr">
        <is>
          <t>40 participants x $50 completion stipend</t>
        </is>
      </c>
      <c r="C20" s="12" t="n">
        <v>40</v>
      </c>
      <c r="D20" s="13" t="n">
        <v>50</v>
      </c>
      <c r="E20" s="12" t="n"/>
      <c r="F20" s="13">
        <f>C20*D20</f>
        <v/>
      </c>
    </row>
    <row r="21">
      <c r="A21" s="10" t="inlineStr">
        <is>
          <t>Printing &amp; postage</t>
        </is>
      </c>
      <c r="B21" s="11" t="inlineStr">
        <is>
          <t>Outreach and reporting materials</t>
        </is>
      </c>
      <c r="C21" s="12" t="n">
        <v>1</v>
      </c>
      <c r="D21" s="13" t="n">
        <v>900</v>
      </c>
      <c r="E21" s="12" t="n"/>
      <c r="F21" s="13">
        <f>C21*D21</f>
        <v/>
      </c>
    </row>
    <row r="23">
      <c r="A23" s="7" t="inlineStr">
        <is>
          <t>TOTAL DIRECT COSTS</t>
        </is>
      </c>
      <c r="B23" s="8" t="n"/>
      <c r="C23" s="9" t="n"/>
      <c r="D23" s="9" t="n"/>
      <c r="E23" s="9" t="n"/>
      <c r="F23" s="15">
        <f>F6+F8+SUM(F10:F11)+SUM(F13:F13)+SUM(F15:F16)+SUM(F18:F18)+SUM(F20:F21)</f>
        <v/>
      </c>
    </row>
    <row r="24">
      <c r="A24" s="20" t="inlineStr">
        <is>
          <t>MTDC Base</t>
        </is>
      </c>
      <c r="B24" s="11" t="inlineStr">
        <is>
          <t>Modified Total Direct Costs = Total Direct minus Equipment</t>
        </is>
      </c>
      <c r="C24" s="10" t="n"/>
      <c r="D24" s="10" t="n"/>
      <c r="E24" s="10" t="n"/>
      <c r="F24" s="21">
        <f>F23-SUM(F13:F13)</f>
        <v/>
      </c>
    </row>
    <row r="25">
      <c r="A25" s="16" t="inlineStr">
        <is>
          <t>Indirect Rate (input)</t>
        </is>
      </c>
      <c r="B25" s="17" t="inlineStr">
        <is>
          <t>De minimis rate = 15% of MTDC (2024 Uniform Guidance, 2 CFR 200.414)</t>
        </is>
      </c>
      <c r="C25" s="18" t="n"/>
      <c r="D25" s="18" t="n"/>
      <c r="E25" s="19" t="n">
        <v>0.15</v>
      </c>
      <c r="F25" s="18" t="n"/>
    </row>
    <row r="26">
      <c r="A26" s="7" t="inlineStr">
        <is>
          <t>INDIRECT COSTS</t>
        </is>
      </c>
      <c r="B26" s="8" t="inlineStr">
        <is>
          <t>Indirect Rate applied to the MTDC base</t>
        </is>
      </c>
      <c r="C26" s="9" t="n"/>
      <c r="D26" s="9" t="n"/>
      <c r="E26" s="9" t="n"/>
      <c r="F26" s="15">
        <f>F24*E25</f>
        <v/>
      </c>
    </row>
    <row r="27">
      <c r="A27" s="22" t="inlineStr">
        <is>
          <t>TOTAL PROJECT COST</t>
        </is>
      </c>
      <c r="B27" s="23" t="n"/>
      <c r="C27" s="24" t="n"/>
      <c r="D27" s="24" t="n"/>
      <c r="E27" s="24" t="n"/>
      <c r="F27" s="25">
        <f>F23+F26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842B"/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0" customWidth="1" min="3" max="3"/>
  </cols>
  <sheetData>
    <row r="1" ht="26" customHeight="1">
      <c r="A1" s="6" t="inlineStr">
        <is>
          <t>Category</t>
        </is>
      </c>
      <c r="B1" s="6" t="inlineStr">
        <is>
          <t>Line Item</t>
        </is>
      </c>
      <c r="C1" s="6" t="inlineStr">
        <is>
          <t>Justification</t>
        </is>
      </c>
    </row>
    <row r="2">
      <c r="A2" s="26" t="inlineStr">
        <is>
          <t>Personnel</t>
        </is>
      </c>
      <c r="B2" s="26" t="inlineStr">
        <is>
          <t>Project Director</t>
        </is>
      </c>
      <c r="C2" s="27" t="inlineStr">
        <is>
          <t>0.25 FTE to supervise program delivery, manage funder relationships, and certify time and effort across the award period.</t>
        </is>
      </c>
    </row>
    <row r="3">
      <c r="A3" s="26" t="inlineStr">
        <is>
          <t>Personnel</t>
        </is>
      </c>
      <c r="B3" s="26" t="inlineStr">
        <is>
          <t>Program Coordinator</t>
        </is>
      </c>
      <c r="C3" s="27" t="inlineStr">
        <is>
          <t>0.50 FTE to deliver weekly sessions to 40 participants and maintain attendance and outcome records.</t>
        </is>
      </c>
    </row>
    <row r="4">
      <c r="A4" s="26" t="inlineStr">
        <is>
          <t>Personnel</t>
        </is>
      </c>
      <c r="B4" s="26" t="inlineStr">
        <is>
          <t>Data &amp; Compliance Analyst</t>
        </is>
      </c>
      <c r="C4" s="27" t="inlineStr">
        <is>
          <t>0.20 FTE to track outcomes, reconcile spending to budget, and prepare funder financial and narrative reports.</t>
        </is>
      </c>
    </row>
    <row r="5">
      <c r="A5" s="26" t="inlineStr">
        <is>
          <t>Fringe Benefits</t>
        </is>
      </c>
      <c r="B5" s="26" t="inlineStr">
        <is>
          <t>Fringe</t>
        </is>
      </c>
      <c r="C5" s="27" t="inlineStr">
        <is>
          <t>Employer payroll taxes, health insurance, and retirement at the organization's audited fringe rate applied to charged salaries.</t>
        </is>
      </c>
    </row>
    <row r="6">
      <c r="A6" s="26" t="inlineStr">
        <is>
          <t>Travel</t>
        </is>
      </c>
      <c r="B6" s="26" t="inlineStr">
        <is>
          <t>Project site visits</t>
        </is>
      </c>
      <c r="C6" s="27" t="inlineStr">
        <is>
          <t>Eight monitoring visits to program sites at the federal per-night lodging and mileage rates.</t>
        </is>
      </c>
    </row>
    <row r="7">
      <c r="A7" s="26" t="inlineStr">
        <is>
          <t>Travel</t>
        </is>
      </c>
      <c r="B7" s="26" t="inlineStr">
        <is>
          <t>National grantee convening</t>
        </is>
      </c>
      <c r="C7" s="27" t="inlineStr">
        <is>
          <t>One staff member to the required annual grantee convening: airfare plus three nights lodging at published rates.</t>
        </is>
      </c>
    </row>
    <row r="8">
      <c r="A8" s="26" t="inlineStr">
        <is>
          <t>Equipment</t>
        </is>
      </c>
      <c r="B8" s="26" t="inlineStr">
        <is>
          <t>Server for participant data system</t>
        </is>
      </c>
      <c r="C8" s="27" t="inlineStr">
        <is>
          <t>One server at $6,200, useful life over one year; capitalized and excluded from the MTDC indirect base.</t>
        </is>
      </c>
    </row>
    <row r="9">
      <c r="A9" s="26" t="inlineStr">
        <is>
          <t>Supplies</t>
        </is>
      </c>
      <c r="B9" s="26" t="inlineStr">
        <is>
          <t>Participant materials</t>
        </is>
      </c>
      <c r="C9" s="27" t="inlineStr">
        <is>
          <t>Workbooks and activity kits for 40 enrolled participants at $35 each.</t>
        </is>
      </c>
    </row>
    <row r="10">
      <c r="A10" s="26" t="inlineStr">
        <is>
          <t>Supplies</t>
        </is>
      </c>
      <c r="B10" s="26" t="inlineStr">
        <is>
          <t>Laptops (under $5,000/unit)</t>
        </is>
      </c>
      <c r="C10" s="27" t="inlineStr">
        <is>
          <t>Three staff laptops at $1,100 each; below the $5,000 capitalization threshold, so budgeted as supplies.</t>
        </is>
      </c>
    </row>
    <row r="11">
      <c r="A11" s="26" t="inlineStr">
        <is>
          <t>Contractual</t>
        </is>
      </c>
      <c r="B11" s="26" t="inlineStr">
        <is>
          <t>External evaluator</t>
        </is>
      </c>
      <c r="C11" s="27" t="inlineStr">
        <is>
          <t>Independent third-party evaluation of program outcomes under a fixed-fee agreement.</t>
        </is>
      </c>
    </row>
    <row r="12">
      <c r="A12" s="26" t="inlineStr">
        <is>
          <t>Other Direct Costs</t>
        </is>
      </c>
      <c r="B12" s="26" t="inlineStr">
        <is>
          <t>Participant stipends</t>
        </is>
      </c>
      <c r="C12" s="27" t="inlineStr">
        <is>
          <t>Completion stipends of $50 for 40 participants to support retention through the full program.</t>
        </is>
      </c>
    </row>
    <row r="13">
      <c r="A13" s="26" t="inlineStr">
        <is>
          <t>Other Direct Costs</t>
        </is>
      </c>
      <c r="B13" s="26" t="inlineStr">
        <is>
          <t>Printing &amp; postage</t>
        </is>
      </c>
      <c r="C13" s="27" t="inlineStr">
        <is>
          <t>Outreach, enrollment, and reporting materials over the project period.</t>
        </is>
      </c>
    </row>
    <row r="14">
      <c r="A14" s="26" t="inlineStr">
        <is>
          <t>Indirect Costs</t>
        </is>
      </c>
      <c r="B14" s="26" t="inlineStr">
        <is>
          <t>De minimis indirect</t>
        </is>
      </c>
      <c r="C14" s="27" t="inlineStr">
        <is>
          <t>15% de minimis rate applied to Modified Total Direct Costs, per 2 CFR 200.414, in the absence of a negotiated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9842B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50" customWidth="1" min="4" max="4"/>
  </cols>
  <sheetData>
    <row r="1" ht="26" customHeight="1">
      <c r="A1" s="6" t="inlineStr">
        <is>
          <t>Source</t>
        </is>
      </c>
      <c r="B1" s="6" t="inlineStr">
        <is>
          <t>Type (Cash/In-Kind)</t>
        </is>
      </c>
      <c r="C1" s="6" t="inlineStr">
        <is>
          <t>Amount</t>
        </is>
      </c>
      <c r="D1" s="6" t="inlineStr">
        <is>
          <t>Notes</t>
        </is>
      </c>
    </row>
    <row r="2">
      <c r="A2" s="28" t="inlineStr">
        <is>
          <t>Organization unrestricted funds</t>
        </is>
      </c>
      <c r="B2" s="28" t="inlineStr">
        <is>
          <t>Cash</t>
        </is>
      </c>
      <c r="C2" s="29" t="n">
        <v>10000</v>
      </c>
      <c r="D2" s="30" t="inlineStr">
        <is>
          <t>Board-approved match committed at application.</t>
        </is>
      </c>
    </row>
    <row r="3">
      <c r="A3" s="28" t="inlineStr">
        <is>
          <t>Volunteer mentor hours</t>
        </is>
      </c>
      <c r="B3" s="28" t="inlineStr">
        <is>
          <t>In-Kind</t>
        </is>
      </c>
      <c r="C3" s="29" t="n">
        <v>6000</v>
      </c>
      <c r="D3" s="30" t="inlineStr">
        <is>
          <t>120 hours valued at the independent-sector volunteer rate.</t>
        </is>
      </c>
    </row>
    <row r="4">
      <c r="A4" s="28" t="inlineStr">
        <is>
          <t>Donated meeting space</t>
        </is>
      </c>
      <c r="B4" s="28" t="inlineStr">
        <is>
          <t>In-Kind</t>
        </is>
      </c>
      <c r="C4" s="29" t="n">
        <v>3000</v>
      </c>
      <c r="D4" s="30" t="inlineStr">
        <is>
          <t>Partner-provided space for participant sessions, valued at fair rental value.</t>
        </is>
      </c>
    </row>
    <row r="5">
      <c r="A5" s="31" t="inlineStr">
        <is>
          <t>Total Match</t>
        </is>
      </c>
      <c r="B5" s="32" t="n"/>
      <c r="C5" s="33">
        <f>SUM(C2:C4)</f>
        <v/>
      </c>
      <c r="D5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2026-05-21T01:05:28Z</dcterms:created>
  <dcterms:modified xsi:type="dcterms:W3CDTF">2026-05-21T01:05:28Z</dcterms:modified>
</cp:coreProperties>
</file>