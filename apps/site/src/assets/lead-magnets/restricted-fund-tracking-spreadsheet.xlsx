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c0adf600b42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5c6ad4eed5d4a6a"/>
    <x:sheet xmlns:r="http://schemas.openxmlformats.org/officeDocument/2006/relationships" name="Fund Ledger" sheetId="2" r:id="Rd2d90ddad1e74b5b"/>
    <x:sheet xmlns:r="http://schemas.openxmlformats.org/officeDocument/2006/relationships" name="Monthly Activity" sheetId="3" r:id="Rf9035e86831a4d11"/>
    <x:sheet xmlns:r="http://schemas.openxmlformats.org/officeDocument/2006/relationships" name="Source Notes" sheetId="4" r:id="R2617566e03c746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"/>
    <x:numFmt numFmtId="202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03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3A"/>
      </x:patternFill>
    </x:fill>
    <x:fill>
      <x:patternFill patternType="solid">
        <x:fgColor rgb="FFEAF2EF"/>
      </x:patternFill>
    </x:fill>
    <x:fill>
      <x:patternFill patternType="solid">
        <x:fgColor rgb="FFF3F6F4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697b160fbd4e99" /><Relationship Type="http://schemas.openxmlformats.org/officeDocument/2006/relationships/theme" Target="/xl/theme/theme1.xml" Id="R17ca6f9e29a9496c" /><Relationship Type="http://schemas.openxmlformats.org/officeDocument/2006/relationships/sharedStrings" Target="/xl/sharedStrings.xml" Id="R29ff1ee5a2364c33" /><Relationship Type="http://schemas.openxmlformats.org/officeDocument/2006/relationships/worksheet" Target="/xl/worksheets/sheet1.xml" Id="R75c6ad4eed5d4a6a" /><Relationship Type="http://schemas.openxmlformats.org/officeDocument/2006/relationships/worksheet" Target="/xl/worksheets/sheet2.xml" Id="Rd2d90ddad1e74b5b" /><Relationship Type="http://schemas.openxmlformats.org/officeDocument/2006/relationships/worksheet" Target="/xl/worksheets/sheet3.xml" Id="Rf9035e86831a4d11" /><Relationship Type="http://schemas.openxmlformats.org/officeDocument/2006/relationships/worksheet" Target="/xl/worksheets/sheet4.xml" Id="R2617566e03c746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21.2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</x:cols>
  <x:sheetData>
    <x:row r="1">
      <x:c r="A1" s="5" t="str">
        <x:v>Restricted Fund Tracking Spreadsheet</x:v>
      </x:c>
      <x:c r="B1" s="5" t="str"/>
      <x:c r="C1" s="5" t="str"/>
      <x:c r="D1" s="5" t="str"/>
      <x:c r="E1" s="5" t="str"/>
      <x:c r="F1" s="5" t="str"/>
    </x:row>
    <x:row r="2">
      <x:c r="A2" s="11" t="str">
        <x:v>Use this workbook to track restricted awards, releases, remaining balances, compliance status, and audit evidence in one place.</x:v>
      </x:c>
      <x:c r="B2" s="11" t="str"/>
      <x:c r="C2" s="11" t="str"/>
      <x:c r="D2" s="11" t="str"/>
      <x:c r="E2" s="11" t="str"/>
      <x:c r="F2" s="11" t="str"/>
    </x:row>
    <x:row r="3">
      <x:c r="A3" s="12" t="str">
        <x:v>Metric</x:v>
      </x:c>
      <x:c r="B3" s="12" t="str">
        <x:v>Formula</x:v>
      </x:c>
      <x:c r="C3" s="12" t="str">
        <x:v>Current value</x:v>
      </x:c>
      <x:c r="D3" s="12" t="str"/>
      <x:c r="E3" s="12" t="str">
        <x:v>Quick checks</x:v>
      </x:c>
      <x:c r="F3" s="12" t="str">
        <x:v>Status</x:v>
      </x:c>
    </x:row>
    <x:row r="4">
      <x:c r="A4" s="11" t="str">
        <x:v>Total award balance</x:v>
      </x:c>
      <x:c r="B4" s="11" t="str">
        <x:v>=SUM('Fund Ledger'!F5:F24)</x:v>
      </x:c>
      <x:c r="C4" s="13" t="n">
        <x:f>SUM('Fund Ledger'!F5:F24)</x:f>
        <x:v>125000</x:v>
      </x:c>
      <x:c r="D4" s="11" t="str"/>
      <x:c r="E4" s="11" t="str">
        <x:v>Funds missing an owner</x:v>
      </x:c>
      <x:c r="F4" s="14" t="n">
        <x:f>COUNTIF('Fund Ledger'!N5:N24,"")</x:f>
        <x:v>0</x:v>
      </x:c>
    </x:row>
    <x:row r="5">
      <x:c r="A5" s="11" t="str">
        <x:v>Total expenses logged</x:v>
      </x:c>
      <x:c r="B5" s="11" t="str">
        <x:v>=SUM('Monthly Activity'!F5:F64)</x:v>
      </x:c>
      <x:c r="C5" s="13" t="n">
        <x:f>SUM('Monthly Activity'!F5:F64)</x:f>
        <x:v>10900</x:v>
      </x:c>
      <x:c r="D5" s="11" t="str"/>
      <x:c r="E5" s="11" t="str">
        <x:v>Funds with negative remaining balance</x:v>
      </x:c>
      <x:c r="F5" s="14" t="n">
        <x:f>COUNTIF('Fund Ledger'!J5:J24,"&lt;0")</x:f>
        <x:v>0</x:v>
      </x:c>
    </x:row>
    <x:row r="6">
      <x:c r="A6" s="11" t="str">
        <x:v>Total released from restriction</x:v>
      </x:c>
      <x:c r="B6" s="11" t="str">
        <x:v>=SUM('Monthly Activity'!G5:G64)</x:v>
      </x:c>
      <x:c r="C6" s="13" t="n">
        <x:f>SUM('Monthly Activity'!G5:G64)</x:f>
        <x:v>8500</x:v>
      </x:c>
      <x:c r="D6" s="11" t="str"/>
      <x:c r="E6" s="11" t="str">
        <x:v>Funds past end date and still open</x:v>
      </x:c>
      <x:c r="F6" s="14" t="n">
        <x:f>COUNTIFS('Fund Ledger'!E5:E24,"&lt;"&amp;TODAY(),'Fund Ledger'!K5:K24,"Open")</x:f>
        <x:v>0</x:v>
      </x:c>
    </x:row>
    <x:row r="7">
      <x:c r="A7" s="11" t="str">
        <x:v>Remaining restricted balance</x:v>
      </x:c>
      <x:c r="B7" s="11" t="str">
        <x:v>=SUM('Fund Ledger'!J5:J24)</x:v>
      </x:c>
      <x:c r="C7" s="13" t="n">
        <x:f>SUM('Fund Ledger'!J5:J24)</x:f>
        <x:v>105600</x:v>
      </x:c>
      <x:c r="D7" s="11" t="str"/>
      <x:c r="E7" s="11" t="str">
        <x:v>Activity rows missing evidence link</x:v>
      </x:c>
      <x:c r="F7" s="14" t="n">
        <x:f>COUNTIFS('Monthly Activity'!F5:F64,"&gt;0",'Monthly Activity'!I5:I64,"")</x:f>
        <x:v>0</x:v>
      </x:c>
    </x:row>
    <x:row r="8">
      <x:c r="A8" s="11" t="str"/>
      <x:c r="B8" s="11" t="str"/>
      <x:c r="C8" s="11" t="str"/>
      <x:c r="D8" s="11" t="str"/>
      <x:c r="E8" s="11" t="str"/>
      <x:c r="F8" s="11" t="str"/>
    </x:row>
    <x:row r="9">
      <x:c r="A9" s="15" t="str">
        <x:v>Starter workflow</x:v>
      </x:c>
      <x:c r="B9" s="15" t="str"/>
      <x:c r="C9" s="15" t="str"/>
      <x:c r="D9" s="15" t="str"/>
      <x:c r="E9" s="15" t="str">
        <x:v>Why it matters</x:v>
      </x:c>
      <x:c r="F9" s="15" t="str"/>
    </x:row>
    <x:row r="10">
      <x:c r="A10" s="11" t="str">
        <x:v>1. Add each grant or donor restriction to Fund Ledger.</x:v>
      </x:c>
      <x:c r="B10" s="11" t="str"/>
      <x:c r="C10" s="11" t="str"/>
      <x:c r="D10" s="11" t="str"/>
      <x:c r="E10" s="11" t="str">
        <x:v>ASC 958 requires donor restrictions to be tracked and released when purpose or time restrictions are met.</x:v>
      </x:c>
      <x:c r="F10" s="11" t="str"/>
    </x:row>
    <x:row r="11">
      <x:c r="A11" s="11" t="str">
        <x:v>2. Log monthly expenses and release entries in Monthly Activity.</x:v>
      </x:c>
      <x:c r="B11" s="11" t="str"/>
      <x:c r="C11" s="11" t="str"/>
      <x:c r="D11" s="11" t="str"/>
      <x:c r="E11" s="11" t="str">
        <x:v>A clean release schedule makes board reporting and funder reporting easier to reconcile.</x:v>
      </x:c>
      <x:c r="F11" s="11" t="str"/>
    </x:row>
    <x:row r="12">
      <x:c r="A12" s="11" t="str">
        <x:v>3. Attach or link evidence for each material expense.</x:v>
      </x:c>
      <x:c r="B12" s="11" t="str"/>
      <x:c r="C12" s="11" t="str"/>
      <x:c r="D12" s="11" t="str"/>
      <x:c r="E12" s="11" t="str">
        <x:v>Evidence links reduce audit scramble and keep grant backup connected to the fund balance.</x:v>
      </x:c>
      <x:c r="F12" s="11" t="str"/>
    </x:row>
  </x:sheetData>
  <x:mergeCells>
    <x:mergeCell ref="A1:F1"/>
    <x:mergeCell ref="A2:F2"/>
    <x:mergeCell ref="A9:D9"/>
    <x:mergeCell ref="E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0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27.5" hidden="0" customWidth="1"/>
    <x:col min="14" max="14" width="27.5" hidden="0" customWidth="1"/>
    <x:col min="15" max="15" width="27.5" hidden="0" customWidth="1"/>
  </x:cols>
  <x:sheetData>
    <x:row r="4">
      <x:c r="A4" s="10" t="str">
        <x:v>Fund ID</x:v>
      </x:c>
      <x:c r="B4" s="10" t="str">
        <x:v>Restricted fund / award</x:v>
      </x:c>
      <x:c r="C4" s="10" t="str">
        <x:v>Funder</x:v>
      </x:c>
      <x:c r="D4" s="10" t="str">
        <x:v>Restriction type</x:v>
      </x:c>
      <x:c r="E4" s="10" t="str">
        <x:v>End date</x:v>
      </x:c>
      <x:c r="F4" s="10" t="str">
        <x:v>Award amount</x:v>
      </x:c>
      <x:c r="G4" s="10" t="str">
        <x:v>Opening balance</x:v>
      </x:c>
      <x:c r="H4" s="10" t="str">
        <x:v>Expenses to date</x:v>
      </x:c>
      <x:c r="I4" s="10" t="str">
        <x:v>Released to date</x:v>
      </x:c>
      <x:c r="J4" s="10" t="str">
        <x:v>Remaining balance</x:v>
      </x:c>
      <x:c r="K4" s="10" t="str">
        <x:v>Status</x:v>
      </x:c>
      <x:c r="L4" s="10" t="str">
        <x:v>Report due date</x:v>
      </x:c>
      <x:c r="M4" s="10" t="str">
        <x:v>Evidence folder</x:v>
      </x:c>
      <x:c r="N4" s="10" t="str">
        <x:v>Owner</x:v>
      </x:c>
      <x:c r="O4" s="10" t="str">
        <x:v>Notes</x:v>
      </x:c>
    </x:row>
    <x:row r="5">
      <x:c r="A5" t="str">
        <x:v>RF-001</x:v>
      </x:c>
      <x:c r="B5" t="str">
        <x:v>Example Family Foundation capacity grant</x:v>
      </x:c>
      <x:c r="C5" t="str">
        <x:v>Example Family Foundation</x:v>
      </x:c>
      <x:c r="D5" t="str">
        <x:v>Purpose</x:v>
      </x:c>
      <x:c r="E5" s="3" t="n">
        <x:v>46387</x:v>
      </x:c>
      <x:c r="F5" s="1" t="n">
        <x:v>75000</x:v>
      </x:c>
      <x:c r="G5" s="1" t="n">
        <x:v>75000</x:v>
      </x:c>
      <x:c r="H5" s="1" t="n">
        <x:f>SUMIF('Monthly Activity'!$B$5:$B$64,A5,'Monthly Activity'!$F$5:$F$64)</x:f>
        <x:v>8500</x:v>
      </x:c>
      <x:c r="I5" s="1" t="n">
        <x:f>SUMIF('Monthly Activity'!$B$5:$B$64,A5,'Monthly Activity'!$G$5:$G$64)</x:f>
        <x:v>8500</x:v>
      </x:c>
      <x:c r="J5" s="1" t="n">
        <x:f>G5-H5-I5</x:f>
        <x:v>58000</x:v>
      </x:c>
      <x:c r="K5" t="str">
        <x:v>Open</x:v>
      </x:c>
      <x:c r="L5" s="3" t="n">
        <x:v>46418</x:v>
      </x:c>
      <x:c r="M5" t="str">
        <x:v>https://example.org/evidence/rf-001</x:v>
      </x:c>
      <x:c r="N5" t="str">
        <x:v>Finance lead</x:v>
      </x:c>
      <x:c r="O5" t="str">
        <x:v>Replace example rows with real restricted funds before use.</x:v>
      </x:c>
    </x:row>
    <x:row r="6">
      <x:c r="A6" t="str">
        <x:v>RF-002</x:v>
      </x:c>
      <x:c r="B6" t="str">
        <x:v>Example city youth program grant</x:v>
      </x:c>
      <x:c r="C6" t="str">
        <x:v>Example City Department</x:v>
      </x:c>
      <x:c r="D6" t="str">
        <x:v>Purpose and time</x:v>
      </x:c>
      <x:c r="E6" s="3" t="n">
        <x:v>46295</x:v>
      </x:c>
      <x:c r="F6" s="1" t="n">
        <x:v>50000</x:v>
      </x:c>
      <x:c r="G6" s="1" t="n">
        <x:v>50000</x:v>
      </x:c>
      <x:c r="H6" s="1" t="n">
        <x:f>SUMIF('Monthly Activity'!$B$5:$B$64,A6,'Monthly Activity'!$F$5:$F$64)</x:f>
        <x:v>2400</x:v>
      </x:c>
      <x:c r="I6" s="1" t="n">
        <x:f>SUMIF('Monthly Activity'!$B$5:$B$64,A6,'Monthly Activity'!$G$5:$G$64)</x:f>
        <x:v>0</x:v>
      </x:c>
      <x:c r="J6" s="1" t="n">
        <x:f>G6-H6-I6</x:f>
        <x:v>47600</x:v>
      </x:c>
      <x:c r="K6" t="str">
        <x:v>Open</x:v>
      </x:c>
      <x:c r="L6" s="3" t="n">
        <x:v>46326</x:v>
      </x:c>
      <x:c r="M6" t="str">
        <x:v>https://example.org/evidence/rf-002</x:v>
      </x:c>
      <x:c r="N6" t="str">
        <x:v>Program lead</x:v>
      </x:c>
      <x:c r="O6" t="str"/>
    </x:row>
    <x:row r="7">
      <x:c r="A7" t="str"/>
      <x:c r="B7" t="str"/>
      <x:c r="C7" t="str"/>
      <x:c r="D7" t="str"/>
      <x:c r="E7" s="3" t="str"/>
      <x:c r="F7" s="1" t="str"/>
      <x:c r="G7" s="1" t="str"/>
      <x:c r="H7" s="1" t="str">
        <x:f>IF($A7="","",SUMIF('Monthly Activity'!$B$5:$B$64,$A7,'Monthly Activity'!$F$5:$F$64))</x:f>
      </x:c>
      <x:c r="I7" s="1" t="str">
        <x:f>IF($A7="","",SUMIF('Monthly Activity'!$B$5:$B$64,$A7,'Monthly Activity'!$G$5:$G$64))</x:f>
      </x:c>
      <x:c r="J7" s="1" t="str">
        <x:f>IF($A7="","",$G7-$H7-$I7)</x:f>
      </x:c>
      <x:c r="K7" t="str"/>
      <x:c r="L7" s="3" t="str"/>
      <x:c r="M7" t="str"/>
      <x:c r="N7" t="str"/>
      <x:c r="O7" t="str"/>
    </x:row>
    <x:row r="8">
      <x:c r="A8" t="str"/>
      <x:c r="B8" t="str"/>
      <x:c r="C8" t="str"/>
      <x:c r="D8" t="str"/>
      <x:c r="E8" s="3" t="str"/>
      <x:c r="F8" s="1" t="str"/>
      <x:c r="G8" s="1" t="str"/>
      <x:c r="H8" s="1" t="str">
        <x:f>IF($A8="","",SUMIF('Monthly Activity'!$B$5:$B$64,$A8,'Monthly Activity'!$F$5:$F$64))</x:f>
      </x:c>
      <x:c r="I8" s="1" t="str">
        <x:f>IF($A8="","",SUMIF('Monthly Activity'!$B$5:$B$64,$A8,'Monthly Activity'!$G$5:$G$64))</x:f>
      </x:c>
      <x:c r="J8" s="1" t="str">
        <x:f>IF($A8="","",$G8-$H8-$I8)</x:f>
      </x:c>
      <x:c r="K8" t="str"/>
      <x:c r="L8" s="3" t="str"/>
      <x:c r="M8" t="str"/>
      <x:c r="N8" t="str"/>
      <x:c r="O8" t="str"/>
    </x:row>
    <x:row r="9">
      <x:c r="A9" t="str"/>
      <x:c r="B9" t="str"/>
      <x:c r="C9" t="str"/>
      <x:c r="D9" t="str"/>
      <x:c r="E9" s="3" t="str"/>
      <x:c r="F9" s="1" t="str"/>
      <x:c r="G9" s="1" t="str"/>
      <x:c r="H9" s="1" t="str">
        <x:f>IF($A9="","",SUMIF('Monthly Activity'!$B$5:$B$64,$A9,'Monthly Activity'!$F$5:$F$64))</x:f>
      </x:c>
      <x:c r="I9" s="1" t="str">
        <x:f>IF($A9="","",SUMIF('Monthly Activity'!$B$5:$B$64,$A9,'Monthly Activity'!$G$5:$G$64))</x:f>
      </x:c>
      <x:c r="J9" s="1" t="str">
        <x:f>IF($A9="","",$G9-$H9-$I9)</x:f>
      </x:c>
      <x:c r="K9" t="str"/>
      <x:c r="L9" s="3" t="str"/>
      <x:c r="M9" t="str"/>
      <x:c r="N9" t="str"/>
      <x:c r="O9" t="str"/>
    </x:row>
    <x:row r="10">
      <x:c r="A10" t="str"/>
      <x:c r="B10" t="str"/>
      <x:c r="C10" t="str"/>
      <x:c r="D10" t="str"/>
      <x:c r="E10" s="3" t="str"/>
      <x:c r="F10" s="1" t="str"/>
      <x:c r="G10" s="1" t="str"/>
      <x:c r="H10" s="1" t="str">
        <x:f>IF($A10="","",SUMIF('Monthly Activity'!$B$5:$B$64,$A10,'Monthly Activity'!$F$5:$F$64))</x:f>
      </x:c>
      <x:c r="I10" s="1" t="str">
        <x:f>IF($A10="","",SUMIF('Monthly Activity'!$B$5:$B$64,$A10,'Monthly Activity'!$G$5:$G$64))</x:f>
      </x:c>
      <x:c r="J10" s="1" t="str">
        <x:f>IF($A10="","",$G10-$H10-$I10)</x:f>
      </x:c>
      <x:c r="K10" t="str"/>
      <x:c r="L10" s="3" t="str"/>
      <x:c r="M10" t="str"/>
      <x:c r="N10" t="str"/>
      <x:c r="O10" t="str"/>
    </x:row>
    <x:row r="11">
      <x:c r="A11" t="str"/>
      <x:c r="B11" t="str"/>
      <x:c r="C11" t="str"/>
      <x:c r="D11" t="str"/>
      <x:c r="E11" s="3" t="str"/>
      <x:c r="F11" s="1" t="str"/>
      <x:c r="G11" s="1" t="str"/>
      <x:c r="H11" s="1" t="str">
        <x:f>IF($A11="","",SUMIF('Monthly Activity'!$B$5:$B$64,$A11,'Monthly Activity'!$F$5:$F$64))</x:f>
      </x:c>
      <x:c r="I11" s="1" t="str">
        <x:f>IF($A11="","",SUMIF('Monthly Activity'!$B$5:$B$64,$A11,'Monthly Activity'!$G$5:$G$64))</x:f>
      </x:c>
      <x:c r="J11" s="1" t="str">
        <x:f>IF($A11="","",$G11-$H11-$I11)</x:f>
      </x:c>
      <x:c r="K11" t="str"/>
      <x:c r="L11" s="3" t="str"/>
      <x:c r="M11" t="str"/>
      <x:c r="N11" t="str"/>
      <x:c r="O11" t="str"/>
    </x:row>
    <x:row r="12">
      <x:c r="A12" t="str"/>
      <x:c r="B12" t="str"/>
      <x:c r="C12" t="str"/>
      <x:c r="D12" t="str"/>
      <x:c r="E12" s="3" t="str"/>
      <x:c r="F12" s="1" t="str"/>
      <x:c r="G12" s="1" t="str"/>
      <x:c r="H12" s="1" t="str">
        <x:f>IF($A12="","",SUMIF('Monthly Activity'!$B$5:$B$64,$A12,'Monthly Activity'!$F$5:$F$64))</x:f>
      </x:c>
      <x:c r="I12" s="1" t="str">
        <x:f>IF($A12="","",SUMIF('Monthly Activity'!$B$5:$B$64,$A12,'Monthly Activity'!$G$5:$G$64))</x:f>
      </x:c>
      <x:c r="J12" s="1" t="str">
        <x:f>IF($A12="","",$G12-$H12-$I12)</x:f>
      </x:c>
      <x:c r="K12" t="str"/>
      <x:c r="L12" s="3" t="str"/>
      <x:c r="M12" t="str"/>
      <x:c r="N12" t="str"/>
      <x:c r="O12" t="str"/>
    </x:row>
    <x:row r="13">
      <x:c r="A13" t="str"/>
      <x:c r="B13" t="str"/>
      <x:c r="C13" t="str"/>
      <x:c r="D13" t="str"/>
      <x:c r="E13" s="3" t="str"/>
      <x:c r="F13" s="1" t="str"/>
      <x:c r="G13" s="1" t="str"/>
      <x:c r="H13" s="1" t="str">
        <x:f>IF($A13="","",SUMIF('Monthly Activity'!$B$5:$B$64,$A13,'Monthly Activity'!$F$5:$F$64))</x:f>
      </x:c>
      <x:c r="I13" s="1" t="str">
        <x:f>IF($A13="","",SUMIF('Monthly Activity'!$B$5:$B$64,$A13,'Monthly Activity'!$G$5:$G$64))</x:f>
      </x:c>
      <x:c r="J13" s="1" t="str">
        <x:f>IF($A13="","",$G13-$H13-$I13)</x:f>
      </x:c>
      <x:c r="K13" t="str"/>
      <x:c r="L13" s="3" t="str"/>
      <x:c r="M13" t="str"/>
      <x:c r="N13" t="str"/>
      <x:c r="O13" t="str"/>
    </x:row>
    <x:row r="14">
      <x:c r="A14" t="str"/>
      <x:c r="B14" t="str"/>
      <x:c r="C14" t="str"/>
      <x:c r="D14" t="str"/>
      <x:c r="E14" s="3" t="str"/>
      <x:c r="F14" s="1" t="str"/>
      <x:c r="G14" s="1" t="str"/>
      <x:c r="H14" s="1" t="str">
        <x:f>IF($A14="","",SUMIF('Monthly Activity'!$B$5:$B$64,$A14,'Monthly Activity'!$F$5:$F$64))</x:f>
      </x:c>
      <x:c r="I14" s="1" t="str">
        <x:f>IF($A14="","",SUMIF('Monthly Activity'!$B$5:$B$64,$A14,'Monthly Activity'!$G$5:$G$64))</x:f>
      </x:c>
      <x:c r="J14" s="1" t="str">
        <x:f>IF($A14="","",$G14-$H14-$I14)</x:f>
      </x:c>
      <x:c r="K14" t="str"/>
      <x:c r="L14" s="3" t="str"/>
      <x:c r="M14" t="str"/>
      <x:c r="N14" t="str"/>
      <x:c r="O14" t="str"/>
    </x:row>
    <x:row r="15">
      <x:c r="A15" t="str"/>
      <x:c r="B15" t="str"/>
      <x:c r="C15" t="str"/>
      <x:c r="D15" t="str"/>
      <x:c r="E15" s="3" t="str"/>
      <x:c r="F15" s="1" t="str"/>
      <x:c r="G15" s="1" t="str"/>
      <x:c r="H15" s="1" t="str">
        <x:f>IF($A15="","",SUMIF('Monthly Activity'!$B$5:$B$64,$A15,'Monthly Activity'!$F$5:$F$64))</x:f>
      </x:c>
      <x:c r="I15" s="1" t="str">
        <x:f>IF($A15="","",SUMIF('Monthly Activity'!$B$5:$B$64,$A15,'Monthly Activity'!$G$5:$G$64))</x:f>
      </x:c>
      <x:c r="J15" s="1" t="str">
        <x:f>IF($A15="","",$G15-$H15-$I15)</x:f>
      </x:c>
      <x:c r="K15" t="str"/>
      <x:c r="L15" s="3" t="str"/>
      <x:c r="M15" t="str"/>
      <x:c r="N15" t="str"/>
      <x:c r="O15" t="str"/>
    </x:row>
    <x:row r="16">
      <x:c r="A16" t="str"/>
      <x:c r="B16" t="str"/>
      <x:c r="C16" t="str"/>
      <x:c r="D16" t="str"/>
      <x:c r="E16" s="3" t="str"/>
      <x:c r="F16" s="1" t="str"/>
      <x:c r="G16" s="1" t="str"/>
      <x:c r="H16" s="1" t="str">
        <x:f>IF($A16="","",SUMIF('Monthly Activity'!$B$5:$B$64,$A16,'Monthly Activity'!$F$5:$F$64))</x:f>
      </x:c>
      <x:c r="I16" s="1" t="str">
        <x:f>IF($A16="","",SUMIF('Monthly Activity'!$B$5:$B$64,$A16,'Monthly Activity'!$G$5:$G$64))</x:f>
      </x:c>
      <x:c r="J16" s="1" t="str">
        <x:f>IF($A16="","",$G16-$H16-$I16)</x:f>
      </x:c>
      <x:c r="K16" t="str"/>
      <x:c r="L16" s="3" t="str"/>
      <x:c r="M16" t="str"/>
      <x:c r="N16" t="str"/>
      <x:c r="O16" t="str"/>
    </x:row>
    <x:row r="17">
      <x:c r="A17" t="str"/>
      <x:c r="B17" t="str"/>
      <x:c r="C17" t="str"/>
      <x:c r="D17" t="str"/>
      <x:c r="E17" s="3" t="str"/>
      <x:c r="F17" s="1" t="str"/>
      <x:c r="G17" s="1" t="str"/>
      <x:c r="H17" s="1" t="str">
        <x:f>IF($A17="","",SUMIF('Monthly Activity'!$B$5:$B$64,$A17,'Monthly Activity'!$F$5:$F$64))</x:f>
      </x:c>
      <x:c r="I17" s="1" t="str">
        <x:f>IF($A17="","",SUMIF('Monthly Activity'!$B$5:$B$64,$A17,'Monthly Activity'!$G$5:$G$64))</x:f>
      </x:c>
      <x:c r="J17" s="1" t="str">
        <x:f>IF($A17="","",$G17-$H17-$I17)</x:f>
      </x:c>
      <x:c r="K17" t="str"/>
      <x:c r="L17" s="3" t="str"/>
      <x:c r="M17" t="str"/>
      <x:c r="N17" t="str"/>
      <x:c r="O17" t="str"/>
    </x:row>
    <x:row r="18">
      <x:c r="A18" t="str"/>
      <x:c r="B18" t="str"/>
      <x:c r="C18" t="str"/>
      <x:c r="D18" t="str"/>
      <x:c r="E18" s="3" t="str"/>
      <x:c r="F18" s="1" t="str"/>
      <x:c r="G18" s="1" t="str"/>
      <x:c r="H18" s="1" t="str">
        <x:f>IF($A18="","",SUMIF('Monthly Activity'!$B$5:$B$64,$A18,'Monthly Activity'!$F$5:$F$64))</x:f>
      </x:c>
      <x:c r="I18" s="1" t="str">
        <x:f>IF($A18="","",SUMIF('Monthly Activity'!$B$5:$B$64,$A18,'Monthly Activity'!$G$5:$G$64))</x:f>
      </x:c>
      <x:c r="J18" s="1" t="str">
        <x:f>IF($A18="","",$G18-$H18-$I18)</x:f>
      </x:c>
      <x:c r="K18" t="str"/>
      <x:c r="L18" s="3" t="str"/>
      <x:c r="M18" t="str"/>
      <x:c r="N18" t="str"/>
      <x:c r="O18" t="str"/>
    </x:row>
    <x:row r="19">
      <x:c r="A19" t="str"/>
      <x:c r="B19" t="str"/>
      <x:c r="C19" t="str"/>
      <x:c r="D19" t="str"/>
      <x:c r="E19" s="3" t="str"/>
      <x:c r="F19" s="1" t="str"/>
      <x:c r="G19" s="1" t="str"/>
      <x:c r="H19" s="1" t="str">
        <x:f>IF($A19="","",SUMIF('Monthly Activity'!$B$5:$B$64,$A19,'Monthly Activity'!$F$5:$F$64))</x:f>
      </x:c>
      <x:c r="I19" s="1" t="str">
        <x:f>IF($A19="","",SUMIF('Monthly Activity'!$B$5:$B$64,$A19,'Monthly Activity'!$G$5:$G$64))</x:f>
      </x:c>
      <x:c r="J19" s="1" t="str">
        <x:f>IF($A19="","",$G19-$H19-$I19)</x:f>
      </x:c>
      <x:c r="K19" t="str"/>
      <x:c r="L19" s="3" t="str"/>
      <x:c r="M19" t="str"/>
      <x:c r="N19" t="str"/>
      <x:c r="O19" t="str"/>
    </x:row>
    <x:row r="20">
      <x:c r="A20" t="str"/>
      <x:c r="B20" t="str"/>
      <x:c r="C20" t="str"/>
      <x:c r="D20" t="str"/>
      <x:c r="E20" s="3" t="str"/>
      <x:c r="F20" s="1" t="str"/>
      <x:c r="G20" s="1" t="str"/>
      <x:c r="H20" s="1" t="str">
        <x:f>IF($A20="","",SUMIF('Monthly Activity'!$B$5:$B$64,$A20,'Monthly Activity'!$F$5:$F$64))</x:f>
      </x:c>
      <x:c r="I20" s="1" t="str">
        <x:f>IF($A20="","",SUMIF('Monthly Activity'!$B$5:$B$64,$A20,'Monthly Activity'!$G$5:$G$64))</x:f>
      </x:c>
      <x:c r="J20" s="1" t="str">
        <x:f>IF($A20="","",$G20-$H20-$I20)</x:f>
      </x:c>
      <x:c r="K20" t="str"/>
      <x:c r="L20" s="3" t="str"/>
      <x:c r="M20" t="str"/>
      <x:c r="N20" t="str"/>
      <x:c r="O20" t="str"/>
    </x:row>
    <x:row r="21">
      <x:c r="A21" t="str"/>
      <x:c r="B21" t="str"/>
      <x:c r="C21" t="str"/>
      <x:c r="D21" t="str"/>
      <x:c r="E21" s="3" t="str"/>
      <x:c r="F21" s="1" t="str"/>
      <x:c r="G21" s="1" t="str"/>
      <x:c r="H21" s="1" t="str">
        <x:f>IF($A21="","",SUMIF('Monthly Activity'!$B$5:$B$64,$A21,'Monthly Activity'!$F$5:$F$64))</x:f>
      </x:c>
      <x:c r="I21" s="1" t="str">
        <x:f>IF($A21="","",SUMIF('Monthly Activity'!$B$5:$B$64,$A21,'Monthly Activity'!$G$5:$G$64))</x:f>
      </x:c>
      <x:c r="J21" s="1" t="str">
        <x:f>IF($A21="","",$G21-$H21-$I21)</x:f>
      </x:c>
      <x:c r="K21" t="str"/>
      <x:c r="L21" s="3" t="str"/>
      <x:c r="M21" t="str"/>
      <x:c r="N21" t="str"/>
      <x:c r="O21" t="str"/>
    </x:row>
    <x:row r="22">
      <x:c r="A22" t="str"/>
      <x:c r="B22" t="str"/>
      <x:c r="C22" t="str"/>
      <x:c r="D22" t="str"/>
      <x:c r="E22" s="3" t="str"/>
      <x:c r="F22" s="1" t="str"/>
      <x:c r="G22" s="1" t="str"/>
      <x:c r="H22" s="1" t="str">
        <x:f>IF($A22="","",SUMIF('Monthly Activity'!$B$5:$B$64,$A22,'Monthly Activity'!$F$5:$F$64))</x:f>
      </x:c>
      <x:c r="I22" s="1" t="str">
        <x:f>IF($A22="","",SUMIF('Monthly Activity'!$B$5:$B$64,$A22,'Monthly Activity'!$G$5:$G$64))</x:f>
      </x:c>
      <x:c r="J22" s="1" t="str">
        <x:f>IF($A22="","",$G22-$H22-$I22)</x:f>
      </x:c>
      <x:c r="K22" t="str"/>
      <x:c r="L22" s="3" t="str"/>
      <x:c r="M22" t="str"/>
      <x:c r="N22" t="str"/>
      <x:c r="O22" t="str"/>
    </x:row>
    <x:row r="23">
      <x:c r="A23" t="str"/>
      <x:c r="B23" t="str"/>
      <x:c r="C23" t="str"/>
      <x:c r="D23" t="str"/>
      <x:c r="E23" s="3" t="str"/>
      <x:c r="F23" s="1" t="str"/>
      <x:c r="G23" s="1" t="str"/>
      <x:c r="H23" s="1" t="str">
        <x:f>IF($A23="","",SUMIF('Monthly Activity'!$B$5:$B$64,$A23,'Monthly Activity'!$F$5:$F$64))</x:f>
      </x:c>
      <x:c r="I23" s="1" t="str">
        <x:f>IF($A23="","",SUMIF('Monthly Activity'!$B$5:$B$64,$A23,'Monthly Activity'!$G$5:$G$64))</x:f>
      </x:c>
      <x:c r="J23" s="1" t="str">
        <x:f>IF($A23="","",$G23-$H23-$I23)</x:f>
      </x:c>
      <x:c r="K23" t="str"/>
      <x:c r="L23" s="3" t="str"/>
      <x:c r="M23" t="str"/>
      <x:c r="N23" t="str"/>
      <x:c r="O23" t="str"/>
    </x:row>
    <x:row r="24">
      <x:c r="A24" t="str"/>
      <x:c r="B24" t="str"/>
      <x:c r="C24" t="str"/>
      <x:c r="D24" t="str"/>
      <x:c r="E24" s="3" t="str"/>
      <x:c r="F24" s="1" t="str"/>
      <x:c r="G24" s="1" t="str"/>
      <x:c r="H24" s="1" t="str">
        <x:f>IF($A24="","",SUMIF('Monthly Activity'!$B$5:$B$64,$A24,'Monthly Activity'!$F$5:$F$64))</x:f>
      </x:c>
      <x:c r="I24" s="1" t="str">
        <x:f>IF($A24="","",SUMIF('Monthly Activity'!$B$5:$B$64,$A24,'Monthly Activity'!$G$5:$G$64))</x:f>
      </x:c>
      <x:c r="J24" s="1" t="str">
        <x:f>IF($A24="","",$G24-$H24-$I24)</x:f>
      </x:c>
      <x:c r="K24" t="str"/>
      <x:c r="L24" s="3" t="str"/>
      <x:c r="M24" t="str"/>
      <x:c r="N24" t="str"/>
      <x:c r="O2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27.5" hidden="0" customWidth="1"/>
    <x:col min="5" max="5" width="27.5" hidden="0" customWidth="1"/>
    <x:col min="6" max="6" width="18.75" hidden="0" customWidth="1"/>
    <x:col min="7" max="7" width="18.75" hidden="0" customWidth="1"/>
    <x:col min="8" max="8" width="18.75" hidden="0" customWidth="1"/>
    <x:col min="9" max="9" width="28.75" hidden="0" customWidth="1"/>
    <x:col min="10" max="10" width="28.75" hidden="0" customWidth="1"/>
  </x:cols>
  <x:sheetData>
    <x:row r="4">
      <x:c r="A4" s="10" t="str">
        <x:v>Month</x:v>
      </x:c>
      <x:c r="B4" s="10" t="str">
        <x:v>Fund ID</x:v>
      </x:c>
      <x:c r="C4" s="10" t="str">
        <x:v>Activity type</x:v>
      </x:c>
      <x:c r="D4" s="10" t="str">
        <x:v>Description</x:v>
      </x:c>
      <x:c r="E4" s="10" t="str">
        <x:v>Vendor / source</x:v>
      </x:c>
      <x:c r="F4" s="10" t="str">
        <x:v>Expense amount</x:v>
      </x:c>
      <x:c r="G4" s="10" t="str">
        <x:v>Release amount</x:v>
      </x:c>
      <x:c r="H4" s="10" t="str">
        <x:v>Approval reference</x:v>
      </x:c>
      <x:c r="I4" s="10" t="str">
        <x:v>Evidence link</x:v>
      </x:c>
      <x:c r="J4" s="10" t="str">
        <x:v>Notes</x:v>
      </x:c>
    </x:row>
    <x:row r="5">
      <x:c r="A5" s="3" t="n">
        <x:v>46053</x:v>
      </x:c>
      <x:c r="B5" t="str">
        <x:v>RF-001</x:v>
      </x:c>
      <x:c r="C5" t="str">
        <x:v>Expense</x:v>
      </x:c>
      <x:c r="D5" t="str">
        <x:v>Program staff allocation</x:v>
      </x:c>
      <x:c r="E5" t="str">
        <x:v>Payroll allocation</x:v>
      </x:c>
      <x:c r="F5" s="1" t="n">
        <x:v>8500</x:v>
      </x:c>
      <x:c r="G5" s="1" t="n">
        <x:v>0</x:v>
      </x:c>
      <x:c r="H5" t="str">
        <x:v>FIN-2026-001</x:v>
      </x:c>
      <x:c r="I5" t="str">
        <x:v>https://example.org/evidence/payroll-jan</x:v>
      </x:c>
      <x:c r="J5" t="str">
        <x:v>Example row; replace with actual activity.</x:v>
      </x:c>
    </x:row>
    <x:row r="6">
      <x:c r="A6" s="3" t="n">
        <x:v>46053</x:v>
      </x:c>
      <x:c r="B6" t="str">
        <x:v>RF-001</x:v>
      </x:c>
      <x:c r="C6" t="str">
        <x:v>Release</x:v>
      </x:c>
      <x:c r="D6" t="str">
        <x:v>Release for eligible January expenses</x:v>
      </x:c>
      <x:c r="E6" t="str">
        <x:v>Finance review</x:v>
      </x:c>
      <x:c r="F6" s="1" t="n">
        <x:v>0</x:v>
      </x:c>
      <x:c r="G6" s="1" t="n">
        <x:v>8500</x:v>
      </x:c>
      <x:c r="H6" t="str">
        <x:v>REL-2026-001</x:v>
      </x:c>
      <x:c r="I6" t="str">
        <x:v>https://example.org/evidence/release-jan</x:v>
      </x:c>
      <x:c r="J6" t="str"/>
    </x:row>
    <x:row r="7">
      <x:c r="A7" s="3" t="n">
        <x:v>46081</x:v>
      </x:c>
      <x:c r="B7" t="str">
        <x:v>RF-002</x:v>
      </x:c>
      <x:c r="C7" t="str">
        <x:v>Expense</x:v>
      </x:c>
      <x:c r="D7" t="str">
        <x:v>Workshop supplies</x:v>
      </x:c>
      <x:c r="E7" t="str">
        <x:v>Example Supplies Co.</x:v>
      </x:c>
      <x:c r="F7" s="1" t="n">
        <x:v>2400</x:v>
      </x:c>
      <x:c r="G7" s="1" t="n">
        <x:v>0</x:v>
      </x:c>
      <x:c r="H7" t="str">
        <x:v>AP-2026-044</x:v>
      </x:c>
      <x:c r="I7" t="str">
        <x:v>https://example.org/evidence/supplies-feb</x:v>
      </x:c>
      <x:c r="J7" t="str"/>
    </x:row>
    <x:row r="8">
      <x:c r="A8" s="3" t="str"/>
      <x:c r="B8" t="str"/>
      <x:c r="C8" t="str"/>
      <x:c r="D8" t="str"/>
      <x:c r="E8" t="str"/>
      <x:c r="F8" s="1" t="str"/>
      <x:c r="G8" s="1" t="str"/>
      <x:c r="H8" t="str"/>
      <x:c r="I8" t="str"/>
      <x:c r="J8" t="str"/>
    </x:row>
    <x:row r="9">
      <x:c r="A9" s="3" t="str"/>
      <x:c r="B9" t="str"/>
      <x:c r="C9" t="str"/>
      <x:c r="D9" t="str"/>
      <x:c r="E9" t="str"/>
      <x:c r="F9" s="1" t="str"/>
      <x:c r="G9" s="1" t="str"/>
      <x:c r="H9" t="str"/>
      <x:c r="I9" t="str"/>
      <x:c r="J9" t="str"/>
    </x:row>
    <x:row r="10">
      <x:c r="A10" s="3" t="str"/>
      <x:c r="B10" t="str"/>
      <x:c r="C10" t="str"/>
      <x:c r="D10" t="str"/>
      <x:c r="E10" t="str"/>
      <x:c r="F10" s="1" t="str"/>
      <x:c r="G10" s="1" t="str"/>
      <x:c r="H10" t="str"/>
      <x:c r="I10" t="str"/>
      <x:c r="J10" t="str"/>
    </x:row>
    <x:row r="11">
      <x:c r="A11" s="3" t="str"/>
      <x:c r="B11" t="str"/>
      <x:c r="C11" t="str"/>
      <x:c r="D11" t="str"/>
      <x:c r="E11" t="str"/>
      <x:c r="F11" s="1" t="str"/>
      <x:c r="G11" s="1" t="str"/>
      <x:c r="H11" t="str"/>
      <x:c r="I11" t="str"/>
      <x:c r="J11" t="str"/>
    </x:row>
    <x:row r="12">
      <x:c r="A12" s="3" t="str"/>
      <x:c r="B12" t="str"/>
      <x:c r="C12" t="str"/>
      <x:c r="D12" t="str"/>
      <x:c r="E12" t="str"/>
      <x:c r="F12" s="1" t="str"/>
      <x:c r="G12" s="1" t="str"/>
      <x:c r="H12" t="str"/>
      <x:c r="I12" t="str"/>
      <x:c r="J12" t="str"/>
    </x:row>
    <x:row r="13">
      <x:c r="A13" s="3" t="str"/>
      <x:c r="B13" t="str"/>
      <x:c r="C13" t="str"/>
      <x:c r="D13" t="str"/>
      <x:c r="E13" t="str"/>
      <x:c r="F13" s="1" t="str"/>
      <x:c r="G13" s="1" t="str"/>
      <x:c r="H13" t="str"/>
      <x:c r="I13" t="str"/>
      <x:c r="J13" t="str"/>
    </x:row>
    <x:row r="14">
      <x:c r="A14" s="3" t="str"/>
      <x:c r="B14" t="str"/>
      <x:c r="C14" t="str"/>
      <x:c r="D14" t="str"/>
      <x:c r="E14" t="str"/>
      <x:c r="F14" s="1" t="str"/>
      <x:c r="G14" s="1" t="str"/>
      <x:c r="H14" t="str"/>
      <x:c r="I14" t="str"/>
      <x:c r="J14" t="str"/>
    </x:row>
    <x:row r="15">
      <x:c r="A15" s="3" t="str"/>
      <x:c r="B15" t="str"/>
      <x:c r="C15" t="str"/>
      <x:c r="D15" t="str"/>
      <x:c r="E15" t="str"/>
      <x:c r="F15" s="1" t="str"/>
      <x:c r="G15" s="1" t="str"/>
      <x:c r="H15" t="str"/>
      <x:c r="I15" t="str"/>
      <x:c r="J15" t="str"/>
    </x:row>
    <x:row r="16">
      <x:c r="A16" s="3" t="str"/>
      <x:c r="B16" t="str"/>
      <x:c r="C16" t="str"/>
      <x:c r="D16" t="str"/>
      <x:c r="E16" t="str"/>
      <x:c r="F16" s="1" t="str"/>
      <x:c r="G16" s="1" t="str"/>
      <x:c r="H16" t="str"/>
      <x:c r="I16" t="str"/>
      <x:c r="J16" t="str"/>
    </x:row>
    <x:row r="17">
      <x:c r="A17" s="3" t="str"/>
      <x:c r="B17" t="str"/>
      <x:c r="C17" t="str"/>
      <x:c r="D17" t="str"/>
      <x:c r="E17" t="str"/>
      <x:c r="F17" s="1" t="str"/>
      <x:c r="G17" s="1" t="str"/>
      <x:c r="H17" t="str"/>
      <x:c r="I17" t="str"/>
      <x:c r="J17" t="str"/>
    </x:row>
    <x:row r="18">
      <x:c r="A18" s="3" t="str"/>
      <x:c r="B18" t="str"/>
      <x:c r="C18" t="str"/>
      <x:c r="D18" t="str"/>
      <x:c r="E18" t="str"/>
      <x:c r="F18" s="1" t="str"/>
      <x:c r="G18" s="1" t="str"/>
      <x:c r="H18" t="str"/>
      <x:c r="I18" t="str"/>
      <x:c r="J18" t="str"/>
    </x:row>
    <x:row r="19">
      <x:c r="A19" s="3" t="str"/>
      <x:c r="B19" t="str"/>
      <x:c r="C19" t="str"/>
      <x:c r="D19" t="str"/>
      <x:c r="E19" t="str"/>
      <x:c r="F19" s="1" t="str"/>
      <x:c r="G19" s="1" t="str"/>
      <x:c r="H19" t="str"/>
      <x:c r="I19" t="str"/>
      <x:c r="J19" t="str"/>
    </x:row>
    <x:row r="20">
      <x:c r="A20" s="3" t="str"/>
      <x:c r="B20" t="str"/>
      <x:c r="C20" t="str"/>
      <x:c r="D20" t="str"/>
      <x:c r="E20" t="str"/>
      <x:c r="F20" s="1" t="str"/>
      <x:c r="G20" s="1" t="str"/>
      <x:c r="H20" t="str"/>
      <x:c r="I20" t="str"/>
      <x:c r="J20" t="str"/>
    </x:row>
    <x:row r="21">
      <x:c r="A21" s="3" t="str"/>
      <x:c r="B21" t="str"/>
      <x:c r="C21" t="str"/>
      <x:c r="D21" t="str"/>
      <x:c r="E21" t="str"/>
      <x:c r="F21" s="1" t="str"/>
      <x:c r="G21" s="1" t="str"/>
      <x:c r="H21" t="str"/>
      <x:c r="I21" t="str"/>
      <x:c r="J21" t="str"/>
    </x:row>
    <x:row r="22">
      <x:c r="A22" s="3" t="str"/>
      <x:c r="B22" t="str"/>
      <x:c r="C22" t="str"/>
      <x:c r="D22" t="str"/>
      <x:c r="E22" t="str"/>
      <x:c r="F22" s="1" t="str"/>
      <x:c r="G22" s="1" t="str"/>
      <x:c r="H22" t="str"/>
      <x:c r="I22" t="str"/>
      <x:c r="J22" t="str"/>
    </x:row>
    <x:row r="23">
      <x:c r="A23" s="3" t="str"/>
      <x:c r="B23" t="str"/>
      <x:c r="C23" t="str"/>
      <x:c r="D23" t="str"/>
      <x:c r="E23" t="str"/>
      <x:c r="F23" s="1" t="str"/>
      <x:c r="G23" s="1" t="str"/>
      <x:c r="H23" t="str"/>
      <x:c r="I23" t="str"/>
      <x:c r="J23" t="str"/>
    </x:row>
    <x:row r="24">
      <x:c r="A24" s="3" t="str"/>
      <x:c r="B24" t="str"/>
      <x:c r="C24" t="str"/>
      <x:c r="D24" t="str"/>
      <x:c r="E24" t="str"/>
      <x:c r="F24" s="1" t="str"/>
      <x:c r="G24" s="1" t="str"/>
      <x:c r="H24" t="str"/>
      <x:c r="I24" t="str"/>
      <x:c r="J24" t="str"/>
    </x:row>
    <x:row r="25">
      <x:c r="A25" s="3" t="str"/>
      <x:c r="B25" t="str"/>
      <x:c r="C25" t="str"/>
      <x:c r="D25" t="str"/>
      <x:c r="E25" t="str"/>
      <x:c r="F25" s="1" t="str"/>
      <x:c r="G25" s="1" t="str"/>
      <x:c r="H25" t="str"/>
      <x:c r="I25" t="str"/>
      <x:c r="J25" t="str"/>
    </x:row>
    <x:row r="26">
      <x:c r="A26" s="3" t="str"/>
      <x:c r="B26" t="str"/>
      <x:c r="C26" t="str"/>
      <x:c r="D26" t="str"/>
      <x:c r="E26" t="str"/>
      <x:c r="F26" s="1" t="str"/>
      <x:c r="G26" s="1" t="str"/>
      <x:c r="H26" t="str"/>
      <x:c r="I26" t="str"/>
      <x:c r="J26" t="str"/>
    </x:row>
    <x:row r="27">
      <x:c r="A27" s="3" t="str"/>
      <x:c r="B27" t="str"/>
      <x:c r="C27" t="str"/>
      <x:c r="D27" t="str"/>
      <x:c r="E27" t="str"/>
      <x:c r="F27" s="1" t="str"/>
      <x:c r="G27" s="1" t="str"/>
      <x:c r="H27" t="str"/>
      <x:c r="I27" t="str"/>
      <x:c r="J27" t="str"/>
    </x:row>
    <x:row r="28">
      <x:c r="A28" s="3" t="str"/>
      <x:c r="B28" t="str"/>
      <x:c r="C28" t="str"/>
      <x:c r="D28" t="str"/>
      <x:c r="E28" t="str"/>
      <x:c r="F28" s="1" t="str"/>
      <x:c r="G28" s="1" t="str"/>
      <x:c r="H28" t="str"/>
      <x:c r="I28" t="str"/>
      <x:c r="J28" t="str"/>
    </x:row>
    <x:row r="29">
      <x:c r="A29" s="3" t="str"/>
      <x:c r="B29" t="str"/>
      <x:c r="C29" t="str"/>
      <x:c r="D29" t="str"/>
      <x:c r="E29" t="str"/>
      <x:c r="F29" s="1" t="str"/>
      <x:c r="G29" s="1" t="str"/>
      <x:c r="H29" t="str"/>
      <x:c r="I29" t="str"/>
      <x:c r="J29" t="str"/>
    </x:row>
    <x:row r="30">
      <x:c r="A30" s="3" t="str"/>
      <x:c r="B30" t="str"/>
      <x:c r="C30" t="str"/>
      <x:c r="D30" t="str"/>
      <x:c r="E30" t="str"/>
      <x:c r="F30" s="1" t="str"/>
      <x:c r="G30" s="1" t="str"/>
      <x:c r="H30" t="str"/>
      <x:c r="I30" t="str"/>
      <x:c r="J30" t="str"/>
    </x:row>
    <x:row r="31">
      <x:c r="A31" s="3" t="str"/>
      <x:c r="B31" t="str"/>
      <x:c r="C31" t="str"/>
      <x:c r="D31" t="str"/>
      <x:c r="E31" t="str"/>
      <x:c r="F31" s="1" t="str"/>
      <x:c r="G31" s="1" t="str"/>
      <x:c r="H31" t="str"/>
      <x:c r="I31" t="str"/>
      <x:c r="J31" t="str"/>
    </x:row>
    <x:row r="32">
      <x:c r="A32" s="3" t="str"/>
      <x:c r="B32" t="str"/>
      <x:c r="C32" t="str"/>
      <x:c r="D32" t="str"/>
      <x:c r="E32" t="str"/>
      <x:c r="F32" s="1" t="str"/>
      <x:c r="G32" s="1" t="str"/>
      <x:c r="H32" t="str"/>
      <x:c r="I32" t="str"/>
      <x:c r="J32" t="str"/>
    </x:row>
    <x:row r="33">
      <x:c r="A33" s="3" t="str"/>
      <x:c r="B33" t="str"/>
      <x:c r="C33" t="str"/>
      <x:c r="D33" t="str"/>
      <x:c r="E33" t="str"/>
      <x:c r="F33" s="1" t="str"/>
      <x:c r="G33" s="1" t="str"/>
      <x:c r="H33" t="str"/>
      <x:c r="I33" t="str"/>
      <x:c r="J33" t="str"/>
    </x:row>
    <x:row r="34">
      <x:c r="A34" s="3" t="str"/>
      <x:c r="B34" t="str"/>
      <x:c r="C34" t="str"/>
      <x:c r="D34" t="str"/>
      <x:c r="E34" t="str"/>
      <x:c r="F34" s="1" t="str"/>
      <x:c r="G34" s="1" t="str"/>
      <x:c r="H34" t="str"/>
      <x:c r="I34" t="str"/>
      <x:c r="J34" t="str"/>
    </x:row>
    <x:row r="35">
      <x:c r="A35" s="3" t="str"/>
      <x:c r="B35" t="str"/>
      <x:c r="C35" t="str"/>
      <x:c r="D35" t="str"/>
      <x:c r="E35" t="str"/>
      <x:c r="F35" s="1" t="str"/>
      <x:c r="G35" s="1" t="str"/>
      <x:c r="H35" t="str"/>
      <x:c r="I35" t="str"/>
      <x:c r="J35" t="str"/>
    </x:row>
    <x:row r="36">
      <x:c r="A36" s="3" t="str"/>
      <x:c r="B36" t="str"/>
      <x:c r="C36" t="str"/>
      <x:c r="D36" t="str"/>
      <x:c r="E36" t="str"/>
      <x:c r="F36" s="1" t="str"/>
      <x:c r="G36" s="1" t="str"/>
      <x:c r="H36" t="str"/>
      <x:c r="I36" t="str"/>
      <x:c r="J36" t="str"/>
    </x:row>
    <x:row r="37">
      <x:c r="A37" s="3" t="str"/>
      <x:c r="B37" t="str"/>
      <x:c r="C37" t="str"/>
      <x:c r="D37" t="str"/>
      <x:c r="E37" t="str"/>
      <x:c r="F37" s="1" t="str"/>
      <x:c r="G37" s="1" t="str"/>
      <x:c r="H37" t="str"/>
      <x:c r="I37" t="str"/>
      <x:c r="J37" t="str"/>
    </x:row>
    <x:row r="38">
      <x:c r="A38" s="3" t="str"/>
      <x:c r="B38" t="str"/>
      <x:c r="C38" t="str"/>
      <x:c r="D38" t="str"/>
      <x:c r="E38" t="str"/>
      <x:c r="F38" s="1" t="str"/>
      <x:c r="G38" s="1" t="str"/>
      <x:c r="H38" t="str"/>
      <x:c r="I38" t="str"/>
      <x:c r="J38" t="str"/>
    </x:row>
    <x:row r="39">
      <x:c r="A39" s="3" t="str"/>
      <x:c r="B39" t="str"/>
      <x:c r="C39" t="str"/>
      <x:c r="D39" t="str"/>
      <x:c r="E39" t="str"/>
      <x:c r="F39" s="1" t="str"/>
      <x:c r="G39" s="1" t="str"/>
      <x:c r="H39" t="str"/>
      <x:c r="I39" t="str"/>
      <x:c r="J39" t="str"/>
    </x:row>
    <x:row r="40">
      <x:c r="A40" s="3" t="str"/>
      <x:c r="B40" t="str"/>
      <x:c r="C40" t="str"/>
      <x:c r="D40" t="str"/>
      <x:c r="E40" t="str"/>
      <x:c r="F40" s="1" t="str"/>
      <x:c r="G40" s="1" t="str"/>
      <x:c r="H40" t="str"/>
      <x:c r="I40" t="str"/>
      <x:c r="J40" t="str"/>
    </x:row>
    <x:row r="41">
      <x:c r="A41" s="3" t="str"/>
      <x:c r="B41" t="str"/>
      <x:c r="C41" t="str"/>
      <x:c r="D41" t="str"/>
      <x:c r="E41" t="str"/>
      <x:c r="F41" s="1" t="str"/>
      <x:c r="G41" s="1" t="str"/>
      <x:c r="H41" t="str"/>
      <x:c r="I41" t="str"/>
      <x:c r="J41" t="str"/>
    </x:row>
    <x:row r="42">
      <x:c r="A42" s="3" t="str"/>
      <x:c r="B42" t="str"/>
      <x:c r="C42" t="str"/>
      <x:c r="D42" t="str"/>
      <x:c r="E42" t="str"/>
      <x:c r="F42" s="1" t="str"/>
      <x:c r="G42" s="1" t="str"/>
      <x:c r="H42" t="str"/>
      <x:c r="I42" t="str"/>
      <x:c r="J42" t="str"/>
    </x:row>
    <x:row r="43">
      <x:c r="A43" s="3" t="str"/>
      <x:c r="B43" t="str"/>
      <x:c r="C43" t="str"/>
      <x:c r="D43" t="str"/>
      <x:c r="E43" t="str"/>
      <x:c r="F43" s="1" t="str"/>
      <x:c r="G43" s="1" t="str"/>
      <x:c r="H43" t="str"/>
      <x:c r="I43" t="str"/>
      <x:c r="J43" t="str"/>
    </x:row>
    <x:row r="44">
      <x:c r="A44" s="3" t="str"/>
      <x:c r="B44" t="str"/>
      <x:c r="C44" t="str"/>
      <x:c r="D44" t="str"/>
      <x:c r="E44" t="str"/>
      <x:c r="F44" s="1" t="str"/>
      <x:c r="G44" s="1" t="str"/>
      <x:c r="H44" t="str"/>
      <x:c r="I44" t="str"/>
      <x:c r="J44" t="str"/>
    </x:row>
    <x:row r="45">
      <x:c r="A45" s="3" t="str"/>
      <x:c r="B45" t="str"/>
      <x:c r="C45" t="str"/>
      <x:c r="D45" t="str"/>
      <x:c r="E45" t="str"/>
      <x:c r="F45" s="1" t="str"/>
      <x:c r="G45" s="1" t="str"/>
      <x:c r="H45" t="str"/>
      <x:c r="I45" t="str"/>
      <x:c r="J45" t="str"/>
    </x:row>
    <x:row r="46">
      <x:c r="A46" s="3" t="str"/>
      <x:c r="B46" t="str"/>
      <x:c r="C46" t="str"/>
      <x:c r="D46" t="str"/>
      <x:c r="E46" t="str"/>
      <x:c r="F46" s="1" t="str"/>
      <x:c r="G46" s="1" t="str"/>
      <x:c r="H46" t="str"/>
      <x:c r="I46" t="str"/>
      <x:c r="J46" t="str"/>
    </x:row>
    <x:row r="47">
      <x:c r="A47" s="3" t="str"/>
      <x:c r="B47" t="str"/>
      <x:c r="C47" t="str"/>
      <x:c r="D47" t="str"/>
      <x:c r="E47" t="str"/>
      <x:c r="F47" s="1" t="str"/>
      <x:c r="G47" s="1" t="str"/>
      <x:c r="H47" t="str"/>
      <x:c r="I47" t="str"/>
      <x:c r="J47" t="str"/>
    </x:row>
    <x:row r="48">
      <x:c r="A48" s="3" t="str"/>
      <x:c r="B48" t="str"/>
      <x:c r="C48" t="str"/>
      <x:c r="D48" t="str"/>
      <x:c r="E48" t="str"/>
      <x:c r="F48" s="1" t="str"/>
      <x:c r="G48" s="1" t="str"/>
      <x:c r="H48" t="str"/>
      <x:c r="I48" t="str"/>
      <x:c r="J48" t="str"/>
    </x:row>
    <x:row r="49">
      <x:c r="A49" s="3" t="str"/>
      <x:c r="B49" t="str"/>
      <x:c r="C49" t="str"/>
      <x:c r="D49" t="str"/>
      <x:c r="E49" t="str"/>
      <x:c r="F49" s="1" t="str"/>
      <x:c r="G49" s="1" t="str"/>
      <x:c r="H49" t="str"/>
      <x:c r="I49" t="str"/>
      <x:c r="J49" t="str"/>
    </x:row>
    <x:row r="50">
      <x:c r="A50" s="3" t="str"/>
      <x:c r="B50" t="str"/>
      <x:c r="C50" t="str"/>
      <x:c r="D50" t="str"/>
      <x:c r="E50" t="str"/>
      <x:c r="F50" s="1" t="str"/>
      <x:c r="G50" s="1" t="str"/>
      <x:c r="H50" t="str"/>
      <x:c r="I50" t="str"/>
      <x:c r="J50" t="str"/>
    </x:row>
    <x:row r="51">
      <x:c r="A51" s="3" t="str"/>
      <x:c r="B51" t="str"/>
      <x:c r="C51" t="str"/>
      <x:c r="D51" t="str"/>
      <x:c r="E51" t="str"/>
      <x:c r="F51" s="1" t="str"/>
      <x:c r="G51" s="1" t="str"/>
      <x:c r="H51" t="str"/>
      <x:c r="I51" t="str"/>
      <x:c r="J51" t="str"/>
    </x:row>
    <x:row r="52">
      <x:c r="A52" s="3" t="str"/>
      <x:c r="B52" t="str"/>
      <x:c r="C52" t="str"/>
      <x:c r="D52" t="str"/>
      <x:c r="E52" t="str"/>
      <x:c r="F52" s="1" t="str"/>
      <x:c r="G52" s="1" t="str"/>
      <x:c r="H52" t="str"/>
      <x:c r="I52" t="str"/>
      <x:c r="J52" t="str"/>
    </x:row>
    <x:row r="53">
      <x:c r="A53" s="3" t="str"/>
      <x:c r="B53" t="str"/>
      <x:c r="C53" t="str"/>
      <x:c r="D53" t="str"/>
      <x:c r="E53" t="str"/>
      <x:c r="F53" s="1" t="str"/>
      <x:c r="G53" s="1" t="str"/>
      <x:c r="H53" t="str"/>
      <x:c r="I53" t="str"/>
      <x:c r="J53" t="str"/>
    </x:row>
    <x:row r="54">
      <x:c r="A54" s="3" t="str"/>
      <x:c r="B54" t="str"/>
      <x:c r="C54" t="str"/>
      <x:c r="D54" t="str"/>
      <x:c r="E54" t="str"/>
      <x:c r="F54" s="1" t="str"/>
      <x:c r="G54" s="1" t="str"/>
      <x:c r="H54" t="str"/>
      <x:c r="I54" t="str"/>
      <x:c r="J54" t="str"/>
    </x:row>
    <x:row r="55">
      <x:c r="A55" s="3" t="str"/>
      <x:c r="B55" t="str"/>
      <x:c r="C55" t="str"/>
      <x:c r="D55" t="str"/>
      <x:c r="E55" t="str"/>
      <x:c r="F55" s="1" t="str"/>
      <x:c r="G55" s="1" t="str"/>
      <x:c r="H55" t="str"/>
      <x:c r="I55" t="str"/>
      <x:c r="J55" t="str"/>
    </x:row>
    <x:row r="56">
      <x:c r="A56" s="3" t="str"/>
      <x:c r="B56" t="str"/>
      <x:c r="C56" t="str"/>
      <x:c r="D56" t="str"/>
      <x:c r="E56" t="str"/>
      <x:c r="F56" s="1" t="str"/>
      <x:c r="G56" s="1" t="str"/>
      <x:c r="H56" t="str"/>
      <x:c r="I56" t="str"/>
      <x:c r="J56" t="str"/>
    </x:row>
    <x:row r="57">
      <x:c r="A57" s="3" t="str"/>
      <x:c r="B57" t="str"/>
      <x:c r="C57" t="str"/>
      <x:c r="D57" t="str"/>
      <x:c r="E57" t="str"/>
      <x:c r="F57" s="1" t="str"/>
      <x:c r="G57" s="1" t="str"/>
      <x:c r="H57" t="str"/>
      <x:c r="I57" t="str"/>
      <x:c r="J57" t="str"/>
    </x:row>
    <x:row r="58">
      <x:c r="A58" s="3" t="str"/>
      <x:c r="B58" t="str"/>
      <x:c r="C58" t="str"/>
      <x:c r="D58" t="str"/>
      <x:c r="E58" t="str"/>
      <x:c r="F58" s="1" t="str"/>
      <x:c r="G58" s="1" t="str"/>
      <x:c r="H58" t="str"/>
      <x:c r="I58" t="str"/>
      <x:c r="J58" t="str"/>
    </x:row>
    <x:row r="59">
      <x:c r="A59" s="3" t="str"/>
      <x:c r="B59" t="str"/>
      <x:c r="C59" t="str"/>
      <x:c r="D59" t="str"/>
      <x:c r="E59" t="str"/>
      <x:c r="F59" s="1" t="str"/>
      <x:c r="G59" s="1" t="str"/>
      <x:c r="H59" t="str"/>
      <x:c r="I59" t="str"/>
      <x:c r="J59" t="str"/>
    </x:row>
    <x:row r="60">
      <x:c r="A60" s="3" t="str"/>
      <x:c r="B60" t="str"/>
      <x:c r="C60" t="str"/>
      <x:c r="D60" t="str"/>
      <x:c r="E60" t="str"/>
      <x:c r="F60" s="1" t="str"/>
      <x:c r="G60" s="1" t="str"/>
      <x:c r="H60" t="str"/>
      <x:c r="I60" t="str"/>
      <x:c r="J60" t="str"/>
    </x:row>
    <x:row r="61">
      <x:c r="A61" s="3" t="str"/>
      <x:c r="B61" t="str"/>
      <x:c r="C61" t="str"/>
      <x:c r="D61" t="str"/>
      <x:c r="E61" t="str"/>
      <x:c r="F61" s="1" t="str"/>
      <x:c r="G61" s="1" t="str"/>
      <x:c r="H61" t="str"/>
      <x:c r="I61" t="str"/>
      <x:c r="J61" t="str"/>
    </x:row>
    <x:row r="62">
      <x:c r="A62" s="3" t="str"/>
      <x:c r="B62" t="str"/>
      <x:c r="C62" t="str"/>
      <x:c r="D62" t="str"/>
      <x:c r="E62" t="str"/>
      <x:c r="F62" s="1" t="str"/>
      <x:c r="G62" s="1" t="str"/>
      <x:c r="H62" t="str"/>
      <x:c r="I62" t="str"/>
      <x:c r="J62" t="str"/>
    </x:row>
    <x:row r="63">
      <x:c r="A63" s="3" t="str"/>
      <x:c r="B63" t="str"/>
      <x:c r="C63" t="str"/>
      <x:c r="D63" t="str"/>
      <x:c r="E63" t="str"/>
      <x:c r="F63" s="1" t="str"/>
      <x:c r="G63" s="1" t="str"/>
      <x:c r="H63" t="str"/>
      <x:c r="I63" t="str"/>
      <x:c r="J63" t="str"/>
    </x:row>
    <x:row r="64">
      <x:c r="A64" s="3" t="str"/>
      <x:c r="B64" t="str"/>
      <x:c r="C64" t="str"/>
      <x:c r="D64" t="str"/>
      <x:c r="E64" t="str"/>
      <x:c r="F64" s="1" t="str"/>
      <x:c r="G64" s="1" t="str"/>
      <x:c r="H64" t="str"/>
      <x:c r="I64" t="str"/>
      <x:c r="J6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32.5" hidden="0" customWidth="1"/>
    <x:col min="3" max="3" width="32.5" hidden="0" customWidth="1"/>
  </x:cols>
  <x:sheetData>
    <x:row r="1">
      <x:c r="A1" s="16" t="str">
        <x:v>Topic</x:v>
      </x:c>
      <x:c r="B1" s="16" t="str">
        <x:v>Guidance</x:v>
      </x:c>
      <x:c r="C1" s="16" t="str">
        <x:v>Source</x:v>
      </x:c>
    </x:row>
    <x:row r="2">
      <x:c r="A2" s="11" t="str">
        <x:v>Restricted net assets</x:v>
      </x:c>
      <x:c r="B2" s="11" t="str">
        <x:v>Track donor restrictions separately from unrestricted funds and release restrictions when purpose or time requirements are satisfied.</x:v>
      </x:c>
      <x:c r="C2" s="11" t="str">
        <x:v>FASB ASC 958 nonprofit financial reporting guidance.</x:v>
      </x:c>
    </x:row>
    <x:row r="3">
      <x:c r="A3" s="11" t="str">
        <x:v>Funder evidence</x:v>
      </x:c>
      <x:c r="B3" s="11" t="str">
        <x:v>Keep expense documentation, approval references, and report due dates connected to each restricted fund.</x:v>
      </x:c>
      <x:c r="C3" s="11" t="str">
        <x:v>Common grant agreement and audit support practice.</x:v>
      </x:c>
    </x:row>
    <x:row r="4">
      <x:c r="A4" s="11" t="str">
        <x:v>Template limitation</x:v>
      </x:c>
      <x:c r="B4" s="11" t="str">
        <x:v>This workbook is a planning and reconciliation aid, not legal, tax, or accounting advice.</x:v>
      </x:c>
      <x:c r="C4" s="11" t="str">
        <x:v>GrantPipe lead magnet quality standard.</x:v>
      </x:c>
    </x:row>
  </x:sheetData>
  <x:pageMargins left="0.7" right="0.7" top="0.75" bottom="0.75" header="0.3" footer="0.3"/>
</x:worksheet>
</file>