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Grant Register" sheetId="2" state="visible" r:id="rId2"/>
    <sheet name="Budget vs Actual" sheetId="3" state="visible" r:id="rId3"/>
    <sheet name="Expense Log" sheetId="4" state="visible" r:id="rId4"/>
    <sheet name="Repor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 h:mm:ss"/>
    <numFmt numFmtId="166" formatCode="mm/dd/yyyy"/>
  </numFmts>
  <fonts count="9">
    <font>
      <name val="Calibri"/>
      <family val="2"/>
      <color theme="1"/>
      <sz val="11"/>
      <scheme val="minor"/>
    </font>
    <font>
      <name val="Calibri"/>
      <b val="1"/>
      <color rgb="00065F46"/>
      <sz val="20"/>
    </font>
    <font>
      <name val="Calibri"/>
      <i val="1"/>
      <color rgb="006C726A"/>
      <sz val="10"/>
    </font>
    <font>
      <b val="1"/>
      <color rgb="00B9842B"/>
      <sz val="12"/>
    </font>
    <font>
      <name val="Calibri"/>
      <color rgb="0017211C"/>
      <sz val="11"/>
    </font>
    <font>
      <b val="1"/>
      <color rgb="00065F46"/>
      <sz val="11"/>
    </font>
    <font>
      <b val="1"/>
      <color rgb="006C726A"/>
      <sz val="9"/>
    </font>
    <font>
      <b val="1"/>
      <color rgb="00065F46"/>
      <sz val="16"/>
    </font>
    <font>
      <name val="Calibri"/>
      <b val="1"/>
      <color rgb="00053D2E"/>
      <sz val="11"/>
    </font>
  </fonts>
  <fills count="3">
    <fill>
      <patternFill/>
    </fill>
    <fill>
      <patternFill patternType="gray125"/>
    </fill>
    <fill>
      <patternFill patternType="solid">
        <fgColor rgb="00E7F3EE"/>
      </patternFill>
    </fill>
  </fills>
  <borders count="2">
    <border>
      <left/>
      <right/>
      <top/>
      <bottom/>
      <diagonal/>
    </border>
    <border>
      <left style="thin">
        <color rgb="00E6E0D2"/>
      </left>
      <right style="thin">
        <color rgb="00E6E0D2"/>
      </right>
      <top style="thin">
        <color rgb="00E6E0D2"/>
      </top>
      <bottom style="thin">
        <color rgb="00E6E0D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164" fontId="7" fillId="0" borderId="0" pivotButton="0" quotePrefix="0" xfId="0"/>
    <xf numFmtId="9" fontId="7" fillId="0" borderId="0" pivotButton="0" quotePrefix="0" xfId="0"/>
    <xf numFmtId="1" fontId="7" fillId="0" borderId="0" pivotButton="0" quotePrefix="0" xfId="0"/>
    <xf numFmtId="0" fontId="8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9" fontId="4" fillId="0" borderId="1" applyAlignment="1" pivotButton="0" quotePrefix="0" xfId="0">
      <alignment horizontal="right"/>
    </xf>
    <xf numFmtId="0" fontId="2" fillId="0" borderId="0" pivotButton="0" quotePrefix="0" xfId="0"/>
    <xf numFmtId="166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7A5410"/>
      </font>
      <fill>
        <patternFill patternType="solid">
          <fgColor rgb="00F6ECD6"/>
        </patternFill>
      </fill>
    </dxf>
    <dxf>
      <font>
        <b val="1"/>
        <color rgb="00B3261E"/>
      </font>
      <fill>
        <patternFill patternType="solid">
          <fgColor rgb="00FB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5F46"/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Grant Tracking Spreadsheet</t>
        </is>
      </c>
    </row>
    <row r="3">
      <c r="B3" s="2" t="inlineStr">
        <is>
          <t>A compliance-aware template for nonprofits — by GrantPipe</t>
        </is>
      </c>
    </row>
    <row r="5">
      <c r="B5" s="3" t="inlineStr">
        <is>
          <t>WHAT'S INSIDE</t>
        </is>
      </c>
    </row>
    <row r="6">
      <c r="B6" s="4" t="inlineStr">
        <is>
          <t>• Grant Register — one row per grant, with the restricted-funds and period-of-performance columns most trackers skip.</t>
        </is>
      </c>
    </row>
    <row r="7">
      <c r="B7" s="4" t="inlineStr">
        <is>
          <t>• Budget vs Actual — track spend against each grant's budget, category by category. 'Spent' fills itself from the Expense Log.</t>
        </is>
      </c>
    </row>
    <row r="8">
      <c r="B8" s="4" t="inlineStr">
        <is>
          <t>• Expense Log — one row per dollar charged to a grant. The Grant ID ties each expense back to its budget line.</t>
        </is>
      </c>
    </row>
    <row r="9">
      <c r="B9" s="4" t="inlineStr">
        <is>
          <t>• Reporting — funder report deadlines, with colour warnings as due dates approach.</t>
        </is>
      </c>
    </row>
    <row r="11">
      <c r="B11" s="3" t="inlineStr">
        <is>
          <t>HOW TO USE IT</t>
        </is>
      </c>
    </row>
    <row r="12">
      <c r="B12" s="4" t="inlineStr">
        <is>
          <t>1. List every grant on the Grant Register. Give each a short Grant ID (e.g. ED-2026-01) and mark whether it's Restricted.</t>
        </is>
      </c>
    </row>
    <row r="13">
      <c r="B13" s="4" t="inlineStr">
        <is>
          <t>2. On Budget vs Actual, enter the funder-approved budget by category for each Grant ID.</t>
        </is>
      </c>
    </row>
    <row r="14">
      <c r="B14" s="4" t="inlineStr">
        <is>
          <t>3. Log every expense on the Expense Log as it happens. 'Spent' and 'Remaining' update automatically.</t>
        </is>
      </c>
    </row>
    <row r="15">
      <c r="B15" s="4" t="inlineStr">
        <is>
          <t>4. Add funder report deadlines on Reporting. Rows turn amber within 30 days and red once overdue.</t>
        </is>
      </c>
    </row>
    <row r="17">
      <c r="B17" s="3" t="inlineStr">
        <is>
          <t>A NOTE ON COMPLIANCE</t>
        </is>
      </c>
    </row>
    <row r="18">
      <c r="B18" s="4" t="inlineStr">
        <is>
          <t>Restricted grant dollars are tied to a specific purpose. Keep them separate from general operating funds. This template helps you see your position at a glance — it is not legal or accounting advice. When you outgrow a spreadsheet (multiple editors, an audit trail, split-fund allocations), that's the signal to move to dedicated software.</t>
        </is>
      </c>
    </row>
    <row r="20">
      <c r="B20" s="5" t="inlineStr">
        <is>
          <t>Built by GrantPipe — donor management &amp; grant compliance for mid-sized nonprofits.  grantpipe.com</t>
        </is>
      </c>
    </row>
    <row r="21">
      <c r="B21" s="2" t="inlineStr">
        <is>
          <t>Free to use and share. Replace the sample rows with your own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65F46"/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6" customWidth="1" min="5" max="5"/>
    <col width="13" customWidth="1" min="6" max="6"/>
    <col width="13" customWidth="1" min="7" max="7"/>
    <col width="13" customWidth="1" min="8" max="8"/>
    <col width="30" customWidth="1" min="9" max="9"/>
    <col width="14" customWidth="1" min="10" max="10"/>
  </cols>
  <sheetData>
    <row r="1">
      <c r="A1" s="6" t="inlineStr">
        <is>
          <t>Total Awarded</t>
        </is>
      </c>
      <c r="C1" s="6" t="inlineStr">
        <is>
          <t>Total Spent</t>
        </is>
      </c>
      <c r="E1" s="6" t="inlineStr">
        <is>
          <t>% Restricted</t>
        </is>
      </c>
      <c r="G1" s="6" t="inlineStr">
        <is>
          <t>Reports Due / 30d</t>
        </is>
      </c>
    </row>
    <row r="2" ht="22" customHeight="1">
      <c r="A2" s="7">
        <f>SUM(E4:E200)</f>
        <v/>
      </c>
      <c r="C2" s="7">
        <f>SUM('Budget vs Actual'!D4:D400)</f>
        <v/>
      </c>
      <c r="E2" s="8">
        <f>IF(SUM(E4:E200)=0,0,SUMIF(H4:H200,"Yes",E4:E200)/SUM(E4:E200))</f>
        <v/>
      </c>
      <c r="G2" s="9">
        <f>COUNTIFS(Reporting!C4:C200,"&lt;="&amp;(TODAY()+30),Reporting!C4:C200,"&gt;="&amp;TODAY(),Reporting!D4:D200,"")</f>
        <v/>
      </c>
    </row>
    <row r="3" ht="26" customHeight="1">
      <c r="A3" s="10" t="inlineStr">
        <is>
          <t>Grant ID</t>
        </is>
      </c>
      <c r="B3" s="10" t="inlineStr">
        <is>
          <t>Grant Name</t>
        </is>
      </c>
      <c r="C3" s="10" t="inlineStr">
        <is>
          <t>Funder</t>
        </is>
      </c>
      <c r="D3" s="10" t="inlineStr">
        <is>
          <t>Funder Type</t>
        </is>
      </c>
      <c r="E3" s="10" t="inlineStr">
        <is>
          <t>Award Amount</t>
        </is>
      </c>
      <c r="F3" s="10" t="inlineStr">
        <is>
          <t>Start Date</t>
        </is>
      </c>
      <c r="G3" s="10" t="inlineStr">
        <is>
          <t>End Date</t>
        </is>
      </c>
      <c r="H3" s="10" t="inlineStr">
        <is>
          <t>Restricted?</t>
        </is>
      </c>
      <c r="I3" s="10" t="inlineStr">
        <is>
          <t>Restriction Purpose</t>
        </is>
      </c>
      <c r="J3" s="10" t="inlineStr">
        <is>
          <t>Status</t>
        </is>
      </c>
    </row>
    <row r="4">
      <c r="A4" s="11" t="inlineStr">
        <is>
          <t>ED-2026-01</t>
        </is>
      </c>
      <c r="B4" s="11" t="inlineStr">
        <is>
          <t>After-School STEM</t>
        </is>
      </c>
      <c r="C4" s="11" t="inlineStr">
        <is>
          <t>Dept. of Education</t>
        </is>
      </c>
      <c r="D4" s="11" t="inlineStr">
        <is>
          <t>Federal</t>
        </is>
      </c>
      <c r="E4" s="12" t="n">
        <v>50000</v>
      </c>
      <c r="F4" s="13" t="n">
        <v>45931</v>
      </c>
      <c r="G4" s="13" t="n">
        <v>46295</v>
      </c>
      <c r="H4" s="11" t="inlineStr">
        <is>
          <t>Yes</t>
        </is>
      </c>
      <c r="I4" s="11" t="inlineStr">
        <is>
          <t>STEM program only</t>
        </is>
      </c>
      <c r="J4" s="11" t="inlineStr">
        <is>
          <t>Active</t>
        </is>
      </c>
    </row>
    <row r="5">
      <c r="A5" s="11" t="inlineStr">
        <is>
          <t>HF-2026-02</t>
        </is>
      </c>
      <c r="B5" s="11" t="inlineStr">
        <is>
          <t>Family Literacy</t>
        </is>
      </c>
      <c r="C5" s="11" t="inlineStr">
        <is>
          <t>Hartwell Foundation</t>
        </is>
      </c>
      <c r="D5" s="11" t="inlineStr">
        <is>
          <t>Foundation</t>
        </is>
      </c>
      <c r="E5" s="12" t="n">
        <v>28000</v>
      </c>
      <c r="F5" s="13" t="n">
        <v>46023</v>
      </c>
      <c r="G5" s="13" t="n">
        <v>46387</v>
      </c>
      <c r="H5" s="11" t="inlineStr">
        <is>
          <t>Yes</t>
        </is>
      </c>
      <c r="I5" s="11" t="inlineStr">
        <is>
          <t>Literacy materials &amp; staff</t>
        </is>
      </c>
      <c r="J5" s="11" t="inlineStr">
        <is>
          <t>Active</t>
        </is>
      </c>
    </row>
    <row r="6">
      <c r="A6" s="11" t="inlineStr">
        <is>
          <t>ST-2026-03</t>
        </is>
      </c>
      <c r="B6" s="11" t="inlineStr">
        <is>
          <t>Summer Meals</t>
        </is>
      </c>
      <c r="C6" s="11" t="inlineStr">
        <is>
          <t>State DHS</t>
        </is>
      </c>
      <c r="D6" s="11" t="inlineStr">
        <is>
          <t>State</t>
        </is>
      </c>
      <c r="E6" s="12" t="n">
        <v>41500</v>
      </c>
      <c r="F6" s="13" t="n">
        <v>46143</v>
      </c>
      <c r="G6" s="13" t="n">
        <v>46265</v>
      </c>
      <c r="H6" s="11" t="inlineStr">
        <is>
          <t>Yes</t>
        </is>
      </c>
      <c r="I6" s="11" t="inlineStr">
        <is>
          <t>Meal program only</t>
        </is>
      </c>
      <c r="J6" s="11" t="inlineStr">
        <is>
          <t>Awarded</t>
        </is>
      </c>
    </row>
    <row r="7">
      <c r="A7" s="11" t="inlineStr">
        <is>
          <t>GEN-OPS-00</t>
        </is>
      </c>
      <c r="B7" s="11" t="inlineStr">
        <is>
          <t>General Operating</t>
        </is>
      </c>
      <c r="C7" s="11" t="inlineStr">
        <is>
          <t>Community Fund</t>
        </is>
      </c>
      <c r="D7" s="11" t="inlineStr">
        <is>
          <t>Foundation</t>
        </is>
      </c>
      <c r="E7" s="12" t="n">
        <v>15000</v>
      </c>
      <c r="F7" s="13" t="n">
        <v>46023</v>
      </c>
      <c r="G7" s="13" t="n">
        <v>46387</v>
      </c>
      <c r="H7" s="11" t="inlineStr">
        <is>
          <t>No</t>
        </is>
      </c>
      <c r="I7" s="11" t="inlineStr">
        <is>
          <t>—</t>
        </is>
      </c>
      <c r="J7" s="11" t="inlineStr">
        <is>
          <t>Active</t>
        </is>
      </c>
    </row>
  </sheetData>
  <conditionalFormatting sqref="H4:H200">
    <cfRule type="cellIs" priority="1" operator="equal" dxfId="0">
      <formula>"Yes"</formula>
    </cfRule>
  </conditionalFormatting>
  <dataValidations count="3">
    <dataValidation sqref="D4:D200" showDropDown="0" showInputMessage="0" showErrorMessage="0" allowBlank="1" type="list">
      <formula1>"Federal,State,Local,Foundation,Corporate,Association,Other"</formula1>
    </dataValidation>
    <dataValidation sqref="H4:H200" showDropDown="0" showInputMessage="0" showErrorMessage="0" allowBlank="1" type="list">
      <formula1>"Yes,No"</formula1>
    </dataValidation>
    <dataValidation sqref="J4:J200" showDropDown="0" showInputMessage="0" showErrorMessage="0" allowBlank="1" type="list">
      <formula1>"Applied,Awarded,Active,Reporting,Closed"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9842B"/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5" customWidth="1" min="3" max="3"/>
    <col width="16" customWidth="1" min="4" max="4"/>
    <col width="15" customWidth="1" min="5" max="5"/>
    <col width="11" customWidth="1" min="6" max="6"/>
  </cols>
  <sheetData>
    <row r="1" ht="26" customHeight="1">
      <c r="A1" s="10" t="inlineStr">
        <is>
          <t>Grant ID</t>
        </is>
      </c>
      <c r="B1" s="10" t="inlineStr">
        <is>
          <t>Budget Category</t>
        </is>
      </c>
      <c r="C1" s="10" t="inlineStr">
        <is>
          <t>Budgeted</t>
        </is>
      </c>
      <c r="D1" s="10" t="inlineStr">
        <is>
          <t>Spent (auto)</t>
        </is>
      </c>
      <c r="E1" s="10" t="inlineStr">
        <is>
          <t>Remaining</t>
        </is>
      </c>
      <c r="F1" s="10" t="inlineStr">
        <is>
          <t>% Spent</t>
        </is>
      </c>
    </row>
    <row r="2">
      <c r="A2" s="14" t="inlineStr">
        <is>
          <t>ED-2026-01</t>
        </is>
      </c>
      <c r="B2" s="14" t="inlineStr">
        <is>
          <t>Personnel</t>
        </is>
      </c>
      <c r="C2" s="15" t="n">
        <v>32000</v>
      </c>
      <c r="D2" s="15">
        <f>SUMIFS('Expense Log'!$E$4:$E$1000,'Expense Log'!$B$4:$B$1000,A2,'Expense Log'!$C$4:$C$1000,B2)</f>
        <v/>
      </c>
      <c r="E2" s="15">
        <f>C2-D2</f>
        <v/>
      </c>
      <c r="F2" s="16">
        <f>IF(C2=0,0,D2/C2)</f>
        <v/>
      </c>
    </row>
    <row r="3">
      <c r="A3" s="14" t="inlineStr">
        <is>
          <t>ED-2026-01</t>
        </is>
      </c>
      <c r="B3" s="14" t="inlineStr">
        <is>
          <t>Supplies</t>
        </is>
      </c>
      <c r="C3" s="15" t="n">
        <v>6000</v>
      </c>
      <c r="D3" s="15">
        <f>SUMIFS('Expense Log'!$E$4:$E$1000,'Expense Log'!$B$4:$B$1000,A3,'Expense Log'!$C$4:$C$1000,B3)</f>
        <v/>
      </c>
      <c r="E3" s="15">
        <f>C3-D3</f>
        <v/>
      </c>
      <c r="F3" s="16">
        <f>IF(C3=0,0,D3/C3)</f>
        <v/>
      </c>
    </row>
    <row r="4">
      <c r="A4" s="14" t="inlineStr">
        <is>
          <t>ED-2026-01</t>
        </is>
      </c>
      <c r="B4" s="14" t="inlineStr">
        <is>
          <t>Travel</t>
        </is>
      </c>
      <c r="C4" s="15" t="n">
        <v>8000</v>
      </c>
      <c r="D4" s="15">
        <f>SUMIFS('Expense Log'!$E$4:$E$1000,'Expense Log'!$B$4:$B$1000,A4,'Expense Log'!$C$4:$C$1000,B4)</f>
        <v/>
      </c>
      <c r="E4" s="15">
        <f>C4-D4</f>
        <v/>
      </c>
      <c r="F4" s="16">
        <f>IF(C4=0,0,D4/C4)</f>
        <v/>
      </c>
    </row>
    <row r="5">
      <c r="A5" s="14" t="inlineStr">
        <is>
          <t>ED-2026-01</t>
        </is>
      </c>
      <c r="B5" s="14" t="inlineStr">
        <is>
          <t>Indirect (10%)</t>
        </is>
      </c>
      <c r="C5" s="15" t="n">
        <v>4000</v>
      </c>
      <c r="D5" s="15">
        <f>SUMIFS('Expense Log'!$E$4:$E$1000,'Expense Log'!$B$4:$B$1000,A5,'Expense Log'!$C$4:$C$1000,B5)</f>
        <v/>
      </c>
      <c r="E5" s="15">
        <f>C5-D5</f>
        <v/>
      </c>
      <c r="F5" s="16">
        <f>IF(C5=0,0,D5/C5)</f>
        <v/>
      </c>
    </row>
    <row r="6">
      <c r="A6" s="14" t="inlineStr">
        <is>
          <t>HF-2026-02</t>
        </is>
      </c>
      <c r="B6" s="14" t="inlineStr">
        <is>
          <t>Personnel</t>
        </is>
      </c>
      <c r="C6" s="15" t="n">
        <v>18000</v>
      </c>
      <c r="D6" s="15">
        <f>SUMIFS('Expense Log'!$E$4:$E$1000,'Expense Log'!$B$4:$B$1000,A6,'Expense Log'!$C$4:$C$1000,B6)</f>
        <v/>
      </c>
      <c r="E6" s="15">
        <f>C6-D6</f>
        <v/>
      </c>
      <c r="F6" s="16">
        <f>IF(C6=0,0,D6/C6)</f>
        <v/>
      </c>
    </row>
    <row r="7">
      <c r="A7" s="14" t="inlineStr">
        <is>
          <t>HF-2026-02</t>
        </is>
      </c>
      <c r="B7" s="14" t="inlineStr">
        <is>
          <t>Materials</t>
        </is>
      </c>
      <c r="C7" s="15" t="n">
        <v>10000</v>
      </c>
      <c r="D7" s="15">
        <f>SUMIFS('Expense Log'!$E$4:$E$1000,'Expense Log'!$B$4:$B$1000,A7,'Expense Log'!$C$4:$C$1000,B7)</f>
        <v/>
      </c>
      <c r="E7" s="15">
        <f>C7-D7</f>
        <v/>
      </c>
      <c r="F7" s="16">
        <f>IF(C7=0,0,D7/C7)</f>
        <v/>
      </c>
    </row>
  </sheetData>
  <conditionalFormatting sqref="E2:E400">
    <cfRule type="cellIs" priority="1" operator="lessThan" dxfId="1">
      <formula>0</formula>
    </cfRule>
  </conditionalFormatting>
  <conditionalFormatting sqref="F2:F400">
    <cfRule type="cellIs" priority="2" operator="greaterThan" dxfId="1">
      <formula>1</formula>
    </cfRule>
  </conditionalFormatting>
  <dataValidations count="1">
    <dataValidation sqref="A2:A400" showDropDown="0" showInputMessage="0" showErrorMessage="0" allowBlank="1" type="list">
      <formula1>='Grant Register'!$A$4:$A$200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65F46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26" customWidth="1" min="4" max="4"/>
    <col width="14" customWidth="1" min="5" max="5"/>
    <col width="30" customWidth="1" min="6" max="6"/>
  </cols>
  <sheetData>
    <row r="1">
      <c r="A1" s="17" t="inlineStr">
        <is>
          <t>Log every dollar charged to a grant. 'Grant ID' + 'Category' must match the Budget vs Actual rows so SUMIFS can find them.</t>
        </is>
      </c>
    </row>
    <row r="3" ht="26" customHeight="1">
      <c r="A3" s="10" t="inlineStr">
        <is>
          <t>Date</t>
        </is>
      </c>
      <c r="B3" s="10" t="inlineStr">
        <is>
          <t>Grant ID</t>
        </is>
      </c>
      <c r="C3" s="10" t="inlineStr">
        <is>
          <t>Category</t>
        </is>
      </c>
      <c r="D3" s="10" t="inlineStr">
        <is>
          <t>Vendor</t>
        </is>
      </c>
      <c r="E3" s="10" t="inlineStr">
        <is>
          <t>Amount</t>
        </is>
      </c>
      <c r="F3" s="10" t="inlineStr">
        <is>
          <t>Notes</t>
        </is>
      </c>
    </row>
    <row r="4">
      <c r="A4" s="13" t="n">
        <v>46085</v>
      </c>
      <c r="B4" s="11" t="inlineStr">
        <is>
          <t>ED-2026-01</t>
        </is>
      </c>
      <c r="C4" s="11" t="inlineStr">
        <is>
          <t>Supplies</t>
        </is>
      </c>
      <c r="D4" s="11" t="inlineStr">
        <is>
          <t>Lakeshore Learning</t>
        </is>
      </c>
      <c r="E4" s="12" t="n">
        <v>1240</v>
      </c>
      <c r="F4" s="11" t="inlineStr">
        <is>
          <t>Lab kits</t>
        </is>
      </c>
    </row>
    <row r="5">
      <c r="A5" s="13" t="n">
        <v>46090</v>
      </c>
      <c r="B5" s="11" t="inlineStr">
        <is>
          <t>ED-2026-01</t>
        </is>
      </c>
      <c r="C5" s="11" t="inlineStr">
        <is>
          <t>Travel</t>
        </is>
      </c>
      <c r="D5" s="11" t="inlineStr">
        <is>
          <t>Delta Air Lines</t>
        </is>
      </c>
      <c r="E5" s="12" t="n">
        <v>612</v>
      </c>
      <c r="F5" s="11" t="inlineStr">
        <is>
          <t>Site visit</t>
        </is>
      </c>
    </row>
    <row r="6">
      <c r="A6" s="13" t="n">
        <v>46093</v>
      </c>
      <c r="B6" s="11" t="inlineStr">
        <is>
          <t>HF-2026-02</t>
        </is>
      </c>
      <c r="C6" s="11" t="inlineStr">
        <is>
          <t>Personnel</t>
        </is>
      </c>
      <c r="D6" s="11" t="inlineStr">
        <is>
          <t>Payroll</t>
        </is>
      </c>
      <c r="E6" s="12" t="n">
        <v>3800</v>
      </c>
      <c r="F6" s="11" t="inlineStr">
        <is>
          <t>Tutor wages</t>
        </is>
      </c>
    </row>
    <row r="7">
      <c r="A7" s="13" t="n">
        <v>46099</v>
      </c>
      <c r="B7" s="11" t="inlineStr">
        <is>
          <t>ED-2026-01</t>
        </is>
      </c>
      <c r="C7" s="11" t="inlineStr">
        <is>
          <t>Personnel</t>
        </is>
      </c>
      <c r="D7" s="11" t="inlineStr">
        <is>
          <t>Payroll</t>
        </is>
      </c>
      <c r="E7" s="12" t="n">
        <v>4100</v>
      </c>
      <c r="F7" s="11" t="inlineStr">
        <is>
          <t>Instructor</t>
        </is>
      </c>
    </row>
    <row r="8">
      <c r="A8" s="13" t="n">
        <v>46103</v>
      </c>
      <c r="B8" s="11" t="inlineStr">
        <is>
          <t>ED-2026-01</t>
        </is>
      </c>
      <c r="C8" s="11" t="inlineStr">
        <is>
          <t>Travel</t>
        </is>
      </c>
      <c r="D8" s="11" t="inlineStr">
        <is>
          <t>Marriott</t>
        </is>
      </c>
      <c r="E8" s="12" t="n">
        <v>980</v>
      </c>
      <c r="F8" s="11" t="inlineStr">
        <is>
          <t>Conference</t>
        </is>
      </c>
    </row>
  </sheetData>
  <dataValidations count="1">
    <dataValidation sqref="B4:B1000" showDropDown="0" showInputMessage="0" showErrorMessage="0" allowBlank="1" type="list">
      <formula1>='Grant Register'!$A$4:$A$200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9842B"/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6" customWidth="1" min="4" max="4"/>
    <col width="20" customWidth="1" min="5" max="5"/>
  </cols>
  <sheetData>
    <row r="1">
      <c r="A1" s="17" t="inlineStr">
        <is>
          <t>Due dates turn amber within 30 days and red once overdue and unsubmitted.</t>
        </is>
      </c>
    </row>
    <row r="3" ht="26" customHeight="1">
      <c r="A3" s="10" t="inlineStr">
        <is>
          <t>Grant ID</t>
        </is>
      </c>
      <c r="B3" s="10" t="inlineStr">
        <is>
          <t>Report Type</t>
        </is>
      </c>
      <c r="C3" s="10" t="inlineStr">
        <is>
          <t>Due Date</t>
        </is>
      </c>
      <c r="D3" s="10" t="inlineStr">
        <is>
          <t>Submitted Date</t>
        </is>
      </c>
      <c r="E3" s="10" t="inlineStr">
        <is>
          <t>Status (auto)</t>
        </is>
      </c>
    </row>
    <row r="4">
      <c r="A4" s="14" t="inlineStr">
        <is>
          <t>ED-2026-01</t>
        </is>
      </c>
      <c r="B4" s="14" t="inlineStr">
        <is>
          <t>Quarterly Financial</t>
        </is>
      </c>
      <c r="C4" s="18" t="n">
        <v>46188</v>
      </c>
      <c r="D4" s="18" t="n"/>
      <c r="E4" s="14">
        <f>IF(D4&lt;&gt;"","Submitted",IF(C4&lt;TODAY(),"OVERDUE",IF(C4&lt;=TODAY()+30,"Due soon","Upcoming")))</f>
        <v/>
      </c>
    </row>
    <row r="5">
      <c r="A5" s="14" t="inlineStr">
        <is>
          <t>HF-2026-02</t>
        </is>
      </c>
      <c r="B5" s="14" t="inlineStr">
        <is>
          <t>Interim Narrative</t>
        </is>
      </c>
      <c r="C5" s="18" t="n">
        <v>46143</v>
      </c>
      <c r="D5" s="18" t="n"/>
      <c r="E5" s="14">
        <f>IF(D5&lt;&gt;"","Submitted",IF(C5&lt;TODAY(),"OVERDUE",IF(C5&lt;=TODAY()+30,"Due soon","Upcoming")))</f>
        <v/>
      </c>
    </row>
    <row r="6">
      <c r="A6" s="14" t="inlineStr">
        <is>
          <t>ST-2026-03</t>
        </is>
      </c>
      <c r="B6" s="14" t="inlineStr">
        <is>
          <t>Final Report</t>
        </is>
      </c>
      <c r="C6" s="18" t="n">
        <v>46295</v>
      </c>
      <c r="D6" s="18" t="n"/>
      <c r="E6" s="14">
        <f>IF(D6&lt;&gt;"","Submitted",IF(C6&lt;TODAY(),"OVERDUE",IF(C6&lt;=TODAY()+30,"Due soon","Upcoming")))</f>
        <v/>
      </c>
    </row>
  </sheetData>
  <conditionalFormatting sqref="C4:C200">
    <cfRule type="expression" priority="1" dxfId="1">
      <formula>AND($C4&lt;&gt;"",$D4="",$C4&lt;TODAY())</formula>
    </cfRule>
    <cfRule type="expression" priority="2" dxfId="0">
      <formula>AND($C4&lt;&gt;"",$D4="",$C4&gt;=TODAY(),$C4&lt;=TODAY()+30)</formula>
    </cfRule>
  </conditionalFormatting>
  <dataValidations count="1">
    <dataValidation sqref="A4:A200" showDropDown="0" showInputMessage="0" showErrorMessage="0" allowBlank="1" type="list">
      <formula1>='Grant Register'!$A$4:$A$200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2026-05-20T16:34:42Z</dcterms:created>
  <dcterms:modified xsi:type="dcterms:W3CDTF">2026-05-20T16:34:42Z</dcterms:modified>
</cp:coreProperties>
</file>